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0" yWindow="108" windowWidth="22980" windowHeight="9288"/>
  </bookViews>
  <sheets>
    <sheet name="Raw_Data" sheetId="1" r:id="rId1"/>
    <sheet name="Pivot_Tables" sheetId="5" r:id="rId2"/>
    <sheet name="Dashboard" sheetId="2" r:id="rId3"/>
  </sheets>
  <definedNames>
    <definedName name="Slicer_Category">#N/A</definedName>
    <definedName name="Slicer_Month">#N/A</definedName>
    <definedName name="Slicer_Region">#N/A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2" l="1"/>
  <c r="H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2" i="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I2" i="1"/>
  <c r="E5" i="2" l="1"/>
  <c r="G5" i="2"/>
  <c r="A5" i="2"/>
</calcChain>
</file>

<file path=xl/sharedStrings.xml><?xml version="1.0" encoding="utf-8"?>
<sst xmlns="http://schemas.openxmlformats.org/spreadsheetml/2006/main" count="233" uniqueCount="44">
  <si>
    <t>OrderID</t>
  </si>
  <si>
    <t>Date</t>
  </si>
  <si>
    <t>Product</t>
  </si>
  <si>
    <t>Category</t>
  </si>
  <si>
    <t>Region</t>
  </si>
  <si>
    <t>Sales</t>
  </si>
  <si>
    <t>Quantity</t>
  </si>
  <si>
    <t>Laptop</t>
  </si>
  <si>
    <t>Electronics</t>
  </si>
  <si>
    <t>East</t>
  </si>
  <si>
    <t>Mobile</t>
  </si>
  <si>
    <t>West</t>
  </si>
  <si>
    <t>Tablet</t>
  </si>
  <si>
    <t>North</t>
  </si>
  <si>
    <t>Chair</t>
  </si>
  <si>
    <t>Furniture</t>
  </si>
  <si>
    <t>South</t>
  </si>
  <si>
    <t>Desk</t>
  </si>
  <si>
    <t>Revenue</t>
  </si>
  <si>
    <t>Profit</t>
  </si>
  <si>
    <t>Month</t>
  </si>
  <si>
    <t>Average price</t>
  </si>
  <si>
    <t>Total Revenue</t>
  </si>
  <si>
    <t>Total Orders</t>
  </si>
  <si>
    <t>Total Profit</t>
  </si>
  <si>
    <t>Average Revenue</t>
  </si>
  <si>
    <t>Row Labels</t>
  </si>
  <si>
    <t>Grand Total</t>
  </si>
  <si>
    <t>Sum of Revenue</t>
  </si>
  <si>
    <t>Pivot Analysis</t>
  </si>
  <si>
    <t>Revenue by Product</t>
  </si>
  <si>
    <t>Revenue by Region</t>
  </si>
  <si>
    <t>Revenue by Category</t>
  </si>
  <si>
    <t>Dashboard</t>
  </si>
  <si>
    <t>Revenue by month</t>
  </si>
  <si>
    <t>Jan</t>
  </si>
  <si>
    <t>Feb</t>
  </si>
  <si>
    <t>Mar</t>
  </si>
  <si>
    <t>Apr</t>
  </si>
  <si>
    <t>May</t>
  </si>
  <si>
    <t>Jun</t>
  </si>
  <si>
    <t>in</t>
  </si>
  <si>
    <r>
      <rPr>
        <b/>
        <sz val="16"/>
        <color theme="3" tint="-0.499984740745262"/>
        <rFont val="Calibri"/>
        <family val="2"/>
        <scheme val="minor"/>
      </rPr>
      <t>Key Insights</t>
    </r>
    <r>
      <rPr>
        <sz val="11"/>
        <color theme="1"/>
        <rFont val="Calibri"/>
        <family val="2"/>
        <scheme val="minor"/>
      </rPr>
      <t xml:space="preserve">
</t>
    </r>
    <r>
      <rPr>
        <sz val="12"/>
        <rFont val="Calibri"/>
        <family val="2"/>
        <scheme val="minor"/>
      </rPr>
      <t xml:space="preserve">1. </t>
    </r>
    <r>
      <rPr>
        <b/>
        <sz val="12"/>
        <rFont val="Calibri"/>
        <family val="2"/>
        <scheme val="minor"/>
      </rPr>
      <t>Laptop is the highest revenue-generating product</t>
    </r>
    <r>
      <rPr>
        <sz val="12"/>
        <rFont val="Calibri"/>
        <family val="2"/>
        <scheme val="minor"/>
      </rPr>
      <t xml:space="preserve">, indicating strong demand for high-value electronics
2. </t>
    </r>
    <r>
      <rPr>
        <b/>
        <sz val="12"/>
        <rFont val="Calibri"/>
        <family val="2"/>
        <scheme val="minor"/>
      </rPr>
      <t>North region shows strong sales performance</t>
    </r>
    <r>
      <rPr>
        <sz val="12"/>
        <rFont val="Calibri"/>
        <family val="2"/>
        <scheme val="minor"/>
      </rPr>
      <t>, making it a key target market for expansion.
3.The</t>
    </r>
    <r>
      <rPr>
        <b/>
        <sz val="12"/>
        <rFont val="Calibri"/>
        <family val="2"/>
        <scheme val="minor"/>
      </rPr>
      <t xml:space="preserve"> Electronics category contributes the majority of total revenue</t>
    </r>
    <r>
      <rPr>
        <sz val="12"/>
        <rFont val="Calibri"/>
        <family val="2"/>
        <scheme val="minor"/>
      </rPr>
      <t>, highlighting the business’s strong dependence on electronic products compared to furniture.
4. Overall revenue remains</t>
    </r>
    <r>
      <rPr>
        <b/>
        <sz val="12"/>
        <rFont val="Calibri"/>
        <family val="2"/>
        <scheme val="minor"/>
      </rPr>
      <t xml:space="preserve"> relatively stable</t>
    </r>
    <r>
      <rPr>
        <sz val="12"/>
        <rFont val="Calibri"/>
        <family val="2"/>
        <scheme val="minor"/>
      </rPr>
      <t xml:space="preserve">, showing consistent customer demand across the dataset.
5. Sales show a </t>
    </r>
    <r>
      <rPr>
        <b/>
        <sz val="12"/>
        <rFont val="Calibri"/>
        <family val="2"/>
        <scheme val="minor"/>
      </rPr>
      <t>gradual</t>
    </r>
    <r>
      <rPr>
        <sz val="12"/>
        <rFont val="Calibri"/>
        <family val="2"/>
        <scheme val="minor"/>
      </rPr>
      <t xml:space="preserve"> </t>
    </r>
    <r>
      <rPr>
        <b/>
        <sz val="12"/>
        <rFont val="Calibri"/>
        <family val="2"/>
        <scheme val="minor"/>
      </rPr>
      <t>upward trend</t>
    </r>
    <r>
      <rPr>
        <sz val="12"/>
        <rFont val="Calibri"/>
        <family val="2"/>
        <scheme val="minor"/>
      </rPr>
      <t xml:space="preserve"> in certain months, indicating improving market performance or seasonal demand.</t>
    </r>
  </si>
  <si>
    <t>Retail Sales Performance Dashboard (Jan–Jun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</si>
</sst>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
  </numFmts>
  <fonts count="13" x14ac:knownFonts="1">
    <font>
      <sz val="11"/>
      <color theme="1"/>
      <name val="Calibri"/>
      <family val="2"/>
      <scheme val="minor"/>
    </font>
    <font>
      <sz val="11"/>
      <color theme="1"/>
      <name val="Calibri"/>
      <family val="2"/>
      <scheme val="minor"/>
    </font>
    <font>
      <sz val="11"/>
      <color rgb="FF006100"/>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sz val="12"/>
      <name val="Calibri"/>
      <family val="2"/>
      <scheme val="minor"/>
    </font>
    <font>
      <b/>
      <sz val="12"/>
      <name val="Calibri"/>
      <family val="2"/>
      <scheme val="minor"/>
    </font>
    <font>
      <b/>
      <sz val="12"/>
      <color theme="0"/>
      <name val="Calibri"/>
      <family val="2"/>
      <scheme val="minor"/>
    </font>
    <font>
      <b/>
      <sz val="18"/>
      <color theme="0"/>
      <name val="Calibri"/>
      <family val="2"/>
      <scheme val="minor"/>
    </font>
    <font>
      <sz val="11"/>
      <color rgb="FFFF0000"/>
      <name val="Calibri"/>
      <family val="2"/>
      <scheme val="minor"/>
    </font>
    <font>
      <b/>
      <sz val="16"/>
      <color theme="3" tint="-0.499984740745262"/>
      <name val="Calibri"/>
      <family val="2"/>
      <scheme val="minor"/>
    </font>
    <font>
      <sz val="12"/>
      <color theme="1"/>
      <name val="Calibri"/>
      <family val="2"/>
      <scheme val="minor"/>
    </font>
  </fonts>
  <fills count="8">
    <fill>
      <patternFill patternType="none"/>
    </fill>
    <fill>
      <patternFill patternType="gray125"/>
    </fill>
    <fill>
      <patternFill patternType="solid">
        <fgColor rgb="FFC6EFCE"/>
      </patternFill>
    </fill>
    <fill>
      <patternFill patternType="solid">
        <fgColor theme="3" tint="0.59999389629810485"/>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bgColor indexed="64"/>
      </patternFill>
    </fill>
    <fill>
      <patternFill patternType="solid">
        <fgColor theme="3"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2" fillId="2" borderId="0" applyNumberFormat="0" applyBorder="0" applyAlignment="0" applyProtection="0"/>
  </cellStyleXfs>
  <cellXfs count="35">
    <xf numFmtId="0" fontId="0" fillId="0" borderId="0" xfId="0"/>
    <xf numFmtId="0" fontId="0" fillId="0" borderId="1" xfId="0" applyBorder="1"/>
    <xf numFmtId="0" fontId="0" fillId="0" borderId="1" xfId="0" pivotButton="1" applyBorder="1"/>
    <xf numFmtId="0" fontId="0" fillId="0" borderId="1" xfId="0" applyBorder="1" applyAlignment="1">
      <alignment horizontal="left"/>
    </xf>
    <xf numFmtId="0" fontId="6" fillId="5" borderId="2" xfId="1" applyFont="1" applyFill="1" applyBorder="1" applyAlignment="1">
      <alignment horizontal="center"/>
    </xf>
    <xf numFmtId="0" fontId="6" fillId="0" borderId="0" xfId="0" applyFont="1" applyAlignment="1">
      <alignment horizontal="center"/>
    </xf>
    <xf numFmtId="0" fontId="8" fillId="4" borderId="1" xfId="0" applyFont="1" applyFill="1" applyBorder="1" applyAlignment="1">
      <alignment horizontal="center"/>
    </xf>
    <xf numFmtId="14" fontId="1" fillId="6" borderId="1" xfId="1" applyNumberFormat="1" applyFont="1" applyFill="1" applyBorder="1" applyAlignment="1">
      <alignment horizontal="center"/>
    </xf>
    <xf numFmtId="0" fontId="1" fillId="6" borderId="1" xfId="1" applyFont="1" applyFill="1" applyBorder="1" applyAlignment="1">
      <alignment horizontal="left"/>
    </xf>
    <xf numFmtId="0" fontId="1" fillId="6" borderId="1" xfId="1" applyNumberFormat="1" applyFont="1" applyFill="1" applyBorder="1" applyAlignment="1">
      <alignment horizontal="right"/>
    </xf>
    <xf numFmtId="0" fontId="1" fillId="6" borderId="1" xfId="1" applyFont="1" applyFill="1" applyBorder="1" applyAlignment="1">
      <alignment horizontal="right"/>
    </xf>
    <xf numFmtId="0" fontId="9" fillId="4"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9" fillId="4" borderId="0" xfId="0" applyFont="1" applyFill="1"/>
    <xf numFmtId="0" fontId="10" fillId="0" borderId="0" xfId="0" applyFont="1"/>
    <xf numFmtId="164" fontId="0" fillId="0" borderId="0" xfId="0" applyNumberFormat="1"/>
    <xf numFmtId="165" fontId="1" fillId="6" borderId="1" xfId="1" applyNumberFormat="1" applyFont="1" applyFill="1" applyBorder="1" applyAlignment="1">
      <alignment horizontal="right"/>
    </xf>
    <xf numFmtId="165" fontId="4" fillId="5" borderId="3" xfId="1" applyNumberFormat="1" applyFont="1" applyFill="1" applyBorder="1" applyAlignment="1">
      <alignment horizontal="center"/>
    </xf>
    <xf numFmtId="165" fontId="5" fillId="0" borderId="0" xfId="0" applyNumberFormat="1" applyFont="1" applyAlignment="1">
      <alignment horizontal="center"/>
    </xf>
    <xf numFmtId="0" fontId="4" fillId="5" borderId="3" xfId="1" applyNumberFormat="1" applyFont="1" applyFill="1" applyBorder="1" applyAlignment="1">
      <alignment horizontal="center"/>
    </xf>
    <xf numFmtId="165" fontId="0" fillId="0" borderId="1" xfId="0" applyNumberFormat="1" applyBorder="1" applyAlignment="1">
      <alignment horizontal="right"/>
    </xf>
    <xf numFmtId="165" fontId="0" fillId="0" borderId="1" xfId="0" applyNumberFormat="1" applyBorder="1"/>
    <xf numFmtId="0" fontId="7" fillId="0" borderId="0" xfId="0" applyFont="1" applyBorder="1" applyAlignment="1">
      <alignment horizontal="center"/>
    </xf>
    <xf numFmtId="165" fontId="4" fillId="0" borderId="0" xfId="0" applyNumberFormat="1" applyFont="1" applyBorder="1" applyAlignment="1">
      <alignment horizontal="center"/>
    </xf>
    <xf numFmtId="0" fontId="0" fillId="7" borderId="9" xfId="0" applyFill="1" applyBorder="1" applyAlignment="1">
      <alignment vertical="top" wrapText="1" readingOrder="1"/>
    </xf>
    <xf numFmtId="0" fontId="0" fillId="7" borderId="10" xfId="0" applyFill="1" applyBorder="1" applyAlignment="1">
      <alignment vertical="top" readingOrder="1"/>
    </xf>
    <xf numFmtId="0" fontId="0" fillId="7" borderId="11" xfId="0" applyFill="1" applyBorder="1" applyAlignment="1">
      <alignment vertical="top" readingOrder="1"/>
    </xf>
    <xf numFmtId="0" fontId="0" fillId="7" borderId="6" xfId="0" applyFill="1" applyBorder="1" applyAlignment="1">
      <alignment vertical="top" readingOrder="1"/>
    </xf>
    <xf numFmtId="0" fontId="0" fillId="7" borderId="0" xfId="0" applyFill="1" applyBorder="1" applyAlignment="1">
      <alignment vertical="top" readingOrder="1"/>
    </xf>
    <xf numFmtId="0" fontId="0" fillId="7" borderId="7" xfId="0" applyFill="1" applyBorder="1" applyAlignment="1">
      <alignment vertical="top" readingOrder="1"/>
    </xf>
    <xf numFmtId="0" fontId="0" fillId="7" borderId="5" xfId="0" applyFill="1" applyBorder="1" applyAlignment="1">
      <alignment vertical="top" readingOrder="1"/>
    </xf>
    <xf numFmtId="0" fontId="0" fillId="7" borderId="8" xfId="0" applyFill="1" applyBorder="1" applyAlignment="1">
      <alignment vertical="top" readingOrder="1"/>
    </xf>
    <xf numFmtId="0" fontId="0" fillId="7" borderId="4" xfId="0" applyFill="1" applyBorder="1" applyAlignment="1">
      <alignment vertical="top" readingOrder="1"/>
    </xf>
    <xf numFmtId="0" fontId="12" fillId="0" borderId="0" xfId="0" applyFont="1"/>
  </cellXfs>
  <cellStyles count="2">
    <cellStyle name="Good" xfId="1" builtinId="26"/>
    <cellStyle name="Normal" xfId="0" builtinId="0"/>
  </cellStyles>
  <dxfs count="10">
    <dxf>
      <numFmt numFmtId="165" formatCode="\₹#,##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
    </dxf>
    <dxf>
      <numFmt numFmtId="165" formatCode="\₹#,##0"/>
    </dxf>
    <dxf>
      <numFmt numFmtId="165"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[retail_sales_analysis.xlsx]Pivot_Tables!PivotTable2</c:name>
    <c:fmtId val="2"/>
  </c:pivotSource>
  <c:chart>
    <c:title>
      <c:tx>
        <c:rich>
          <a:bodyPr/>
          <a:lstStyle/>
          <a:p>
            <a:pPr>
              <a:defRPr/>
            </a:pPr>
            <a:r>
              <a:rPr lang="en-US"/>
              <a:t>"Monthl</a:t>
            </a:r>
            <a:r>
              <a:rPr lang="en-US" baseline="0"/>
              <a:t>y Revenue Trend"</a:t>
            </a:r>
          </a:p>
          <a:p>
            <a:pPr>
              <a:defRPr/>
            </a:pPr>
            <a:endParaRPr lang="en-US"/>
          </a:p>
        </c:rich>
      </c:tx>
      <c:layout/>
      <c:overlay val="0"/>
    </c:title>
    <c:autoTitleDeleted val="0"/>
    <c:pivotFmts>
      <c:pivotFmt>
        <c:idx val="0"/>
      </c:pivotFmt>
      <c:pivotFmt>
        <c:idx val="1"/>
      </c:pivotFmt>
      <c:pivotFmt>
        <c:idx val="2"/>
        <c:dLbl>
          <c:idx val="0"/>
          <c:layout/>
          <c:spPr/>
          <c:txPr>
            <a:bodyPr/>
            <a:lstStyle/>
            <a:p>
              <a:pPr>
                <a:defRPr sz="1050" b="1"/>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Pivot_Tables!$K$4</c:f>
              <c:strCache>
                <c:ptCount val="1"/>
                <c:pt idx="0">
                  <c:v>Total</c:v>
                </c:pt>
              </c:strCache>
            </c:strRef>
          </c:tx>
          <c:dLbls>
            <c:spPr/>
            <c:txPr>
              <a:bodyPr/>
              <a:lstStyle/>
              <a:p>
                <a:pPr>
                  <a:defRPr sz="1050" b="1"/>
                </a:pPr>
                <a:endParaRPr lang="en-US"/>
              </a:p>
            </c:txPr>
            <c:showLegendKey val="0"/>
            <c:showVal val="1"/>
            <c:showCatName val="0"/>
            <c:showSerName val="0"/>
            <c:showPercent val="0"/>
            <c:showBubbleSize val="0"/>
            <c:showLeaderLines val="0"/>
          </c:dLbls>
          <c:cat>
            <c:strRef>
              <c:f>Pivot_Tables!$J$5:$J$11</c:f>
              <c:strCache>
                <c:ptCount val="6"/>
                <c:pt idx="0">
                  <c:v>Jan</c:v>
                </c:pt>
                <c:pt idx="1">
                  <c:v>Feb</c:v>
                </c:pt>
                <c:pt idx="2">
                  <c:v>Mar</c:v>
                </c:pt>
                <c:pt idx="3">
                  <c:v>Apr</c:v>
                </c:pt>
                <c:pt idx="4">
                  <c:v>May</c:v>
                </c:pt>
                <c:pt idx="5">
                  <c:v>Jun</c:v>
                </c:pt>
              </c:strCache>
            </c:strRef>
          </c:cat>
          <c:val>
            <c:numRef>
              <c:f>Pivot_Tables!$K$5:$K$11</c:f>
              <c:numCache>
                <c:formatCode>\₹#,##0</c:formatCode>
                <c:ptCount val="6"/>
                <c:pt idx="0">
                  <c:v>11850</c:v>
                </c:pt>
                <c:pt idx="1">
                  <c:v>9930</c:v>
                </c:pt>
                <c:pt idx="2">
                  <c:v>9970</c:v>
                </c:pt>
                <c:pt idx="3">
                  <c:v>11650</c:v>
                </c:pt>
                <c:pt idx="4">
                  <c:v>11670</c:v>
                </c:pt>
                <c:pt idx="5">
                  <c:v>12800</c:v>
                </c:pt>
              </c:numCache>
            </c:numRef>
          </c:val>
          <c:smooth val="0"/>
        </c:ser>
        <c:dLbls>
          <c:showLegendKey val="0"/>
          <c:showVal val="0"/>
          <c:showCatName val="0"/>
          <c:showSerName val="0"/>
          <c:showPercent val="0"/>
          <c:showBubbleSize val="0"/>
        </c:dLbls>
        <c:marker val="1"/>
        <c:smooth val="0"/>
        <c:axId val="255107072"/>
        <c:axId val="255108608"/>
      </c:lineChart>
      <c:catAx>
        <c:axId val="255107072"/>
        <c:scaling>
          <c:orientation val="minMax"/>
        </c:scaling>
        <c:delete val="0"/>
        <c:axPos val="b"/>
        <c:majorTickMark val="out"/>
        <c:minorTickMark val="none"/>
        <c:tickLblPos val="nextTo"/>
        <c:crossAx val="255108608"/>
        <c:crosses val="autoZero"/>
        <c:auto val="1"/>
        <c:lblAlgn val="ctr"/>
        <c:lblOffset val="100"/>
        <c:noMultiLvlLbl val="0"/>
      </c:catAx>
      <c:valAx>
        <c:axId val="255108608"/>
        <c:scaling>
          <c:orientation val="minMax"/>
        </c:scaling>
        <c:delete val="0"/>
        <c:axPos val="l"/>
        <c:majorGridlines/>
        <c:numFmt formatCode="\₹#,##0" sourceLinked="1"/>
        <c:majorTickMark val="out"/>
        <c:minorTickMark val="none"/>
        <c:tickLblPos val="nextTo"/>
        <c:crossAx val="2551070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[retail_sales_analysis.xlsx]Pivot_Tables!PivotTable1</c:name>
    <c:fmtId val="2"/>
  </c:pivotSource>
  <c:chart>
    <c:title>
      <c:tx>
        <c:rich>
          <a:bodyPr/>
          <a:lstStyle/>
          <a:p>
            <a:pPr>
              <a:defRPr/>
            </a:pPr>
            <a:r>
              <a:rPr lang="en-US"/>
              <a:t>"Revenue</a:t>
            </a:r>
            <a:r>
              <a:rPr lang="en-US" baseline="0"/>
              <a:t> by Product"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Pivot_Tables!$B$4</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Pivot_Tables!$A$5:$A$10</c:f>
              <c:strCache>
                <c:ptCount val="5"/>
                <c:pt idx="0">
                  <c:v>Laptop</c:v>
                </c:pt>
                <c:pt idx="1">
                  <c:v>Mobile</c:v>
                </c:pt>
                <c:pt idx="2">
                  <c:v>Desk</c:v>
                </c:pt>
                <c:pt idx="3">
                  <c:v>Tablet</c:v>
                </c:pt>
                <c:pt idx="4">
                  <c:v>Chair</c:v>
                </c:pt>
              </c:strCache>
            </c:strRef>
          </c:cat>
          <c:val>
            <c:numRef>
              <c:f>Pivot_Tables!$B$5:$B$10</c:f>
              <c:numCache>
                <c:formatCode>\₹#,##0</c:formatCode>
                <c:ptCount val="5"/>
                <c:pt idx="0">
                  <c:v>21360</c:v>
                </c:pt>
                <c:pt idx="1">
                  <c:v>19020</c:v>
                </c:pt>
                <c:pt idx="2">
                  <c:v>12190</c:v>
                </c:pt>
                <c:pt idx="3">
                  <c:v>7790</c:v>
                </c:pt>
                <c:pt idx="4">
                  <c:v>7510</c:v>
                </c:pt>
              </c:numCache>
            </c:numRef>
          </c:val>
        </c:ser>
        <c:dLbls>
          <c:showLegendKey val="0"/>
          <c:showVal val="0"/>
          <c:showCatName val="0"/>
          <c:showSerName val="0"/>
          <c:showPercent val="0"/>
          <c:showBubbleSize val="0"/>
        </c:dLbls>
        <c:gapWidth val="150"/>
        <c:axId val="254937344"/>
        <c:axId val="254943232"/>
      </c:barChart>
      <c:catAx>
        <c:axId val="254937344"/>
        <c:scaling>
          <c:orientation val="minMax"/>
        </c:scaling>
        <c:delete val="0"/>
        <c:axPos val="l"/>
        <c:majorTickMark val="out"/>
        <c:minorTickMark val="none"/>
        <c:tickLblPos val="nextTo"/>
        <c:txPr>
          <a:bodyPr/>
          <a:lstStyle/>
          <a:p>
            <a:pPr>
              <a:defRPr sz="1100" b="0"/>
            </a:pPr>
            <a:endParaRPr lang="en-US"/>
          </a:p>
        </c:txPr>
        <c:crossAx val="254943232"/>
        <c:crosses val="autoZero"/>
        <c:auto val="1"/>
        <c:lblAlgn val="ctr"/>
        <c:lblOffset val="100"/>
        <c:noMultiLvlLbl val="0"/>
      </c:catAx>
      <c:valAx>
        <c:axId val="254943232"/>
        <c:scaling>
          <c:orientation val="minMax"/>
        </c:scaling>
        <c:delete val="0"/>
        <c:axPos val="b"/>
        <c:majorGridlines>
          <c:spPr>
            <a:ln>
              <a:noFill/>
            </a:ln>
          </c:spPr>
        </c:majorGridlines>
        <c:numFmt formatCode="\₹#,##0" sourceLinked="1"/>
        <c:majorTickMark val="out"/>
        <c:minorTickMark val="none"/>
        <c:tickLblPos val="nextTo"/>
        <c:txPr>
          <a:bodyPr/>
          <a:lstStyle/>
          <a:p>
            <a:pPr>
              <a:defRPr sz="1100" b="1"/>
            </a:pPr>
            <a:endParaRPr lang="en-US"/>
          </a:p>
        </c:txPr>
        <c:crossAx val="2549373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[retail_sales_analysis.xlsx]Pivot_Tables!PivotTable3</c:name>
    <c:fmtId val="2"/>
  </c:pivotSource>
  <c:chart>
    <c:title>
      <c:tx>
        <c:rich>
          <a:bodyPr/>
          <a:lstStyle/>
          <a:p>
            <a:pPr>
              <a:defRPr/>
            </a:pPr>
            <a:r>
              <a:rPr lang="en-US"/>
              <a:t>"Revenue</a:t>
            </a:r>
            <a:r>
              <a:rPr lang="en-US" baseline="0"/>
              <a:t> by Region"</a:t>
            </a:r>
            <a:endParaRPr lang="en-US"/>
          </a:p>
        </c:rich>
      </c:tx>
      <c:layout>
        <c:manualLayout>
          <c:xMode val="edge"/>
          <c:yMode val="edge"/>
          <c:x val="0.31398305713448588"/>
          <c:y val="0.11557273810666863"/>
        </c:manualLayout>
      </c:layout>
      <c:overlay val="0"/>
    </c:title>
    <c:autoTitleDeleted val="0"/>
    <c:pivotFmts>
      <c:pivotFmt>
        <c:idx val="0"/>
        <c:marker>
          <c:symbol val="none"/>
        </c:marker>
      </c:pivotFmt>
      <c:pivotFmt>
        <c:idx val="1"/>
        <c:marker>
          <c:symbol val="none"/>
        </c:marker>
      </c:pivotFmt>
      <c:pivotFmt>
        <c:idx val="2"/>
        <c:spPr>
          <a:solidFill>
            <a:schemeClr val="tx2">
              <a:lumMod val="60000"/>
              <a:lumOff val="40000"/>
            </a:schemeClr>
          </a:solidFill>
        </c:spPr>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Pivot_Tables!$E$4</c:f>
              <c:strCache>
                <c:ptCount val="1"/>
                <c:pt idx="0">
                  <c:v>Total</c:v>
                </c:pt>
              </c:strCache>
            </c:strRef>
          </c:tx>
          <c:spPr>
            <a:solidFill>
              <a:schemeClr val="tx2">
                <a:lumMod val="60000"/>
                <a:lumOff val="40000"/>
              </a:schemeClr>
            </a:solidFill>
          </c:spPr>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Pivot_Tables!$D$5:$D$9</c:f>
              <c:strCache>
                <c:ptCount val="4"/>
                <c:pt idx="0">
                  <c:v>North</c:v>
                </c:pt>
                <c:pt idx="1">
                  <c:v>East</c:v>
                </c:pt>
                <c:pt idx="2">
                  <c:v>South</c:v>
                </c:pt>
                <c:pt idx="3">
                  <c:v>West</c:v>
                </c:pt>
              </c:strCache>
            </c:strRef>
          </c:cat>
          <c:val>
            <c:numRef>
              <c:f>Pivot_Tables!$E$5:$E$9</c:f>
              <c:numCache>
                <c:formatCode>\₹#,##0</c:formatCode>
                <c:ptCount val="4"/>
                <c:pt idx="0">
                  <c:v>20560</c:v>
                </c:pt>
                <c:pt idx="1">
                  <c:v>18520</c:v>
                </c:pt>
                <c:pt idx="2">
                  <c:v>14410</c:v>
                </c:pt>
                <c:pt idx="3">
                  <c:v>14380</c:v>
                </c:pt>
              </c:numCache>
            </c:numRef>
          </c:val>
        </c:ser>
        <c:dLbls>
          <c:showLegendKey val="0"/>
          <c:showVal val="0"/>
          <c:showCatName val="0"/>
          <c:showSerName val="0"/>
          <c:showPercent val="0"/>
          <c:showBubbleSize val="0"/>
        </c:dLbls>
        <c:gapWidth val="150"/>
        <c:axId val="254972672"/>
        <c:axId val="254974208"/>
      </c:barChart>
      <c:catAx>
        <c:axId val="254972672"/>
        <c:scaling>
          <c:orientation val="minMax"/>
        </c:scaling>
        <c:delete val="0"/>
        <c:axPos val="b"/>
        <c:majorTickMark val="out"/>
        <c:minorTickMark val="none"/>
        <c:tickLblPos val="nextTo"/>
        <c:crossAx val="254974208"/>
        <c:crosses val="autoZero"/>
        <c:auto val="1"/>
        <c:lblAlgn val="ctr"/>
        <c:lblOffset val="100"/>
        <c:noMultiLvlLbl val="0"/>
      </c:catAx>
      <c:valAx>
        <c:axId val="254974208"/>
        <c:scaling>
          <c:orientation val="minMax"/>
        </c:scaling>
        <c:delete val="0"/>
        <c:axPos val="l"/>
        <c:majorGridlines/>
        <c:numFmt formatCode="\₹#,##0" sourceLinked="1"/>
        <c:majorTickMark val="out"/>
        <c:minorTickMark val="none"/>
        <c:tickLblPos val="nextTo"/>
        <c:txPr>
          <a:bodyPr/>
          <a:lstStyle/>
          <a:p>
            <a:pPr>
              <a:defRPr sz="1100" b="1"/>
            </a:pPr>
            <a:endParaRPr lang="en-US"/>
          </a:p>
        </c:txPr>
        <c:crossAx val="254972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[retail_sales_analysis.xlsx]Pivot_Tables!PivotTable4</c:name>
    <c:fmtId val="2"/>
  </c:pivotSource>
  <c:chart>
    <c:title>
      <c:tx>
        <c:rich>
          <a:bodyPr/>
          <a:lstStyle/>
          <a:p>
            <a:pPr>
              <a:defRPr/>
            </a:pPr>
            <a:r>
              <a:rPr lang="en-US"/>
              <a:t>"Category</a:t>
            </a:r>
            <a:r>
              <a:rPr lang="en-US" baseline="0"/>
              <a:t> Distribution"</a:t>
            </a:r>
            <a:endParaRPr lang="en-US"/>
          </a:p>
        </c:rich>
      </c:tx>
      <c:layout/>
      <c:overlay val="0"/>
    </c:title>
    <c:autoTitleDeleted val="0"/>
    <c:pivotFmts>
      <c:pivotFmt>
        <c:idx val="0"/>
      </c:pivotFmt>
      <c:pivotFmt>
        <c:idx val="1"/>
      </c:pivotFmt>
      <c:pivotFmt>
        <c:idx val="2"/>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pieChart>
        <c:varyColors val="1"/>
        <c:ser>
          <c:idx val="0"/>
          <c:order val="0"/>
          <c:tx>
            <c:strRef>
              <c:f>Pivot_Tables!$H$4</c:f>
              <c:strCache>
                <c:ptCount val="1"/>
                <c:pt idx="0">
                  <c:v>Total</c:v>
                </c:pt>
              </c:strCache>
            </c:strRef>
          </c:tx>
          <c:dLbls>
            <c:spPr/>
            <c:txPr>
              <a:bodyPr/>
              <a:lstStyle/>
              <a:p>
                <a:pPr>
                  <a:defRPr sz="1100" b="1"/>
                </a:pPr>
                <a:endParaRPr lang="en-US"/>
              </a:p>
            </c:txPr>
            <c:showLegendKey val="0"/>
            <c:showVal val="1"/>
            <c:showCatName val="0"/>
            <c:showSerName val="0"/>
            <c:showPercent val="0"/>
            <c:showBubbleSize val="0"/>
            <c:showLeaderLines val="1"/>
          </c:dLbls>
          <c:cat>
            <c:strRef>
              <c:f>Pivot_Tables!$G$5:$G$7</c:f>
              <c:strCache>
                <c:ptCount val="2"/>
                <c:pt idx="0">
                  <c:v>Electronics</c:v>
                </c:pt>
                <c:pt idx="1">
                  <c:v>Furniture</c:v>
                </c:pt>
              </c:strCache>
            </c:strRef>
          </c:cat>
          <c:val>
            <c:numRef>
              <c:f>Pivot_Tables!$H$5:$H$7</c:f>
              <c:numCache>
                <c:formatCode>\₹#,##0</c:formatCode>
                <c:ptCount val="2"/>
                <c:pt idx="0">
                  <c:v>48170</c:v>
                </c:pt>
                <c:pt idx="1">
                  <c:v>19700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78376</xdr:colOff>
      <xdr:row>6</xdr:row>
      <xdr:rowOff>43543</xdr:rowOff>
    </xdr:from>
    <xdr:to>
      <xdr:col>9</xdr:col>
      <xdr:colOff>511628</xdr:colOff>
      <xdr:row>26</xdr:row>
      <xdr:rowOff>87086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54427</xdr:colOff>
      <xdr:row>27</xdr:row>
      <xdr:rowOff>79513</xdr:rowOff>
    </xdr:from>
    <xdr:to>
      <xdr:col>6</xdr:col>
      <xdr:colOff>1146312</xdr:colOff>
      <xdr:row>42</xdr:row>
      <xdr:rowOff>174172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71716</xdr:colOff>
      <xdr:row>44</xdr:row>
      <xdr:rowOff>26894</xdr:rowOff>
    </xdr:from>
    <xdr:to>
      <xdr:col>6</xdr:col>
      <xdr:colOff>1093693</xdr:colOff>
      <xdr:row>59</xdr:row>
      <xdr:rowOff>170330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27</xdr:row>
      <xdr:rowOff>80684</xdr:rowOff>
    </xdr:from>
    <xdr:to>
      <xdr:col>15</xdr:col>
      <xdr:colOff>367553</xdr:colOff>
      <xdr:row>42</xdr:row>
      <xdr:rowOff>143436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268942</xdr:colOff>
      <xdr:row>44</xdr:row>
      <xdr:rowOff>89647</xdr:rowOff>
    </xdr:from>
    <xdr:to>
      <xdr:col>10</xdr:col>
      <xdr:colOff>268942</xdr:colOff>
      <xdr:row>58</xdr:row>
      <xdr:rowOff>46504</xdr:rowOff>
    </xdr:to>
    <mc:AlternateContent xmlns:mc="http://schemas.openxmlformats.org/markup-compatibility/2006">
      <mc:Choice xmlns:a14="http://schemas.microsoft.com/office/drawing/2010/main"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155392" y="8309722"/>
              <a:ext cx="1828800" cy="249050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10</xdr:col>
      <xdr:colOff>349624</xdr:colOff>
      <xdr:row>44</xdr:row>
      <xdr:rowOff>80683</xdr:rowOff>
    </xdr:from>
    <xdr:ext cx="1828800" cy="2466975"/>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64874" y="830075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13</xdr:col>
      <xdr:colOff>457200</xdr:colOff>
      <xdr:row>44</xdr:row>
      <xdr:rowOff>71717</xdr:rowOff>
    </xdr:from>
    <xdr:ext cx="1828800" cy="2466975"/>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01250" y="829179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bit Poudel" refreshedDate="46146.854898611113" createdVersion="4" refreshedVersion="4" minRefreshableVersion="3" recordCount="60">
  <cacheSource type="worksheet">
    <worksheetSource ref="A1:K61" sheet="Raw_Data"/>
  </cacheSource>
  <cacheFields count="11">
    <cacheField name="OrderID" numFmtId="0">
      <sharedItems containsSemiMixedTypes="0" containsString="0" containsNumber="1" containsInteger="1" minValue="101" maxValue="160"/>
    </cacheField>
    <cacheField name="Date" numFmtId="14">
      <sharedItems containsSemiMixedTypes="0" containsNonDate="0" containsDate="1" containsString="0" minDate="2024-01-05T00:00:00" maxDate="2024-06-20T00:00:00"/>
    </cacheField>
    <cacheField name="Product" numFmtId="0">
      <sharedItems count="5">
        <s v="Laptop"/>
        <s v="Mobile"/>
        <s v="Tablet"/>
        <s v="Chair"/>
        <s v="Desk"/>
      </sharedItems>
    </cacheField>
    <cacheField name="Category" numFmtId="0">
      <sharedItems count="2">
        <s v="Electronics"/>
        <s v="Furniture"/>
      </sharedItems>
    </cacheField>
    <cacheField name="Region" numFmtId="0">
      <sharedItems count="4">
        <s v="East"/>
        <s v="West"/>
        <s v="North"/>
        <s v="South"/>
      </sharedItems>
    </cacheField>
    <cacheField name="Sales" numFmtId="0">
      <sharedItems containsSemiMixedTypes="0" containsString="0" containsNumber="1" containsInteger="1" minValue="180" maxValue="1400"/>
    </cacheField>
    <cacheField name="Quantity" numFmtId="0">
      <sharedItems containsSemiMixedTypes="0" containsString="0" containsNumber="1" containsInteger="1" minValue="1" maxValue="5"/>
    </cacheField>
    <cacheField name="Revenue" numFmtId="0">
      <sharedItems containsSemiMixedTypes="0" containsString="0" containsNumber="1" containsInteger="1" minValue="320" maxValue="2800"/>
    </cacheField>
    <cacheField name="Profit" numFmtId="0">
      <sharedItems containsSemiMixedTypes="0" containsString="0" containsNumber="1" containsInteger="1" minValue="64" maxValue="560"/>
    </cacheField>
    <cacheField name="Month" numFmtId="0">
      <sharedItems count="6">
        <s v="Jan"/>
        <s v="Feb"/>
        <s v="Mar"/>
        <s v="Apr"/>
        <s v="May"/>
        <s v="Jun"/>
      </sharedItems>
    </cacheField>
    <cacheField name="Average price" numFmtId="0">
      <sharedItems containsSemiMixedTypes="0" containsString="0" containsNumber="1" minValue="50" maxValue="13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n v="101"/>
    <d v="2024-01-05T00:00:00"/>
    <x v="0"/>
    <x v="0"/>
    <x v="0"/>
    <n v="800"/>
    <n v="2"/>
    <n v="1600"/>
    <n v="320"/>
    <x v="0"/>
    <n v="400"/>
  </r>
  <r>
    <n v="102"/>
    <d v="2024-01-07T00:00:00"/>
    <x v="1"/>
    <x v="0"/>
    <x v="1"/>
    <n v="400"/>
    <n v="3"/>
    <n v="1200"/>
    <n v="240"/>
    <x v="0"/>
    <n v="133.33000000000001"/>
  </r>
  <r>
    <n v="103"/>
    <d v="2024-01-10T00:00:00"/>
    <x v="2"/>
    <x v="0"/>
    <x v="2"/>
    <n v="300"/>
    <n v="2"/>
    <n v="600"/>
    <n v="120"/>
    <x v="0"/>
    <n v="150"/>
  </r>
  <r>
    <n v="104"/>
    <d v="2024-01-12T00:00:00"/>
    <x v="3"/>
    <x v="1"/>
    <x v="3"/>
    <n v="200"/>
    <n v="4"/>
    <n v="800"/>
    <n v="160"/>
    <x v="0"/>
    <n v="50"/>
  </r>
  <r>
    <n v="105"/>
    <d v="2024-01-15T00:00:00"/>
    <x v="4"/>
    <x v="1"/>
    <x v="0"/>
    <n v="350"/>
    <n v="2"/>
    <n v="700"/>
    <n v="140"/>
    <x v="0"/>
    <n v="175"/>
  </r>
  <r>
    <n v="106"/>
    <d v="2024-01-18T00:00:00"/>
    <x v="0"/>
    <x v="0"/>
    <x v="1"/>
    <n v="900"/>
    <n v="1"/>
    <n v="900"/>
    <n v="180"/>
    <x v="0"/>
    <n v="900"/>
  </r>
  <r>
    <n v="107"/>
    <d v="2024-01-20T00:00:00"/>
    <x v="1"/>
    <x v="0"/>
    <x v="2"/>
    <n v="500"/>
    <n v="5"/>
    <n v="2500"/>
    <n v="500"/>
    <x v="0"/>
    <n v="100"/>
  </r>
  <r>
    <n v="108"/>
    <d v="2024-01-22T00:00:00"/>
    <x v="3"/>
    <x v="1"/>
    <x v="0"/>
    <n v="250"/>
    <n v="3"/>
    <n v="750"/>
    <n v="150"/>
    <x v="0"/>
    <n v="83.33"/>
  </r>
  <r>
    <n v="109"/>
    <d v="2024-01-25T00:00:00"/>
    <x v="4"/>
    <x v="1"/>
    <x v="3"/>
    <n v="400"/>
    <n v="2"/>
    <n v="800"/>
    <n v="160"/>
    <x v="0"/>
    <n v="200"/>
  </r>
  <r>
    <n v="110"/>
    <d v="2024-01-28T00:00:00"/>
    <x v="0"/>
    <x v="0"/>
    <x v="2"/>
    <n v="1000"/>
    <n v="2"/>
    <n v="2000"/>
    <n v="400"/>
    <x v="0"/>
    <n v="500"/>
  </r>
  <r>
    <n v="111"/>
    <d v="2024-02-02T00:00:00"/>
    <x v="1"/>
    <x v="0"/>
    <x v="0"/>
    <n v="450"/>
    <n v="2"/>
    <n v="900"/>
    <n v="180"/>
    <x v="1"/>
    <n v="225"/>
  </r>
  <r>
    <n v="112"/>
    <d v="2024-02-04T00:00:00"/>
    <x v="2"/>
    <x v="0"/>
    <x v="1"/>
    <n v="320"/>
    <n v="1"/>
    <n v="320"/>
    <n v="64"/>
    <x v="1"/>
    <n v="320"/>
  </r>
  <r>
    <n v="113"/>
    <d v="2024-02-06T00:00:00"/>
    <x v="3"/>
    <x v="1"/>
    <x v="2"/>
    <n v="180"/>
    <n v="3"/>
    <n v="540"/>
    <n v="108"/>
    <x v="1"/>
    <n v="60"/>
  </r>
  <r>
    <n v="114"/>
    <d v="2024-02-08T00:00:00"/>
    <x v="4"/>
    <x v="1"/>
    <x v="0"/>
    <n v="370"/>
    <n v="2"/>
    <n v="740"/>
    <n v="148"/>
    <x v="1"/>
    <n v="185"/>
  </r>
  <r>
    <n v="115"/>
    <d v="2024-02-10T00:00:00"/>
    <x v="0"/>
    <x v="0"/>
    <x v="3"/>
    <n v="850"/>
    <n v="1"/>
    <n v="850"/>
    <n v="170"/>
    <x v="1"/>
    <n v="850"/>
  </r>
  <r>
    <n v="116"/>
    <d v="2024-02-12T00:00:00"/>
    <x v="1"/>
    <x v="0"/>
    <x v="1"/>
    <n v="600"/>
    <n v="4"/>
    <n v="2400"/>
    <n v="480"/>
    <x v="1"/>
    <n v="150"/>
  </r>
  <r>
    <n v="117"/>
    <d v="2024-02-14T00:00:00"/>
    <x v="2"/>
    <x v="0"/>
    <x v="0"/>
    <n v="290"/>
    <n v="2"/>
    <n v="580"/>
    <n v="116"/>
    <x v="1"/>
    <n v="145"/>
  </r>
  <r>
    <n v="118"/>
    <d v="2024-02-16T00:00:00"/>
    <x v="3"/>
    <x v="1"/>
    <x v="3"/>
    <n v="220"/>
    <n v="2"/>
    <n v="440"/>
    <n v="88"/>
    <x v="1"/>
    <n v="110"/>
  </r>
  <r>
    <n v="119"/>
    <d v="2024-02-18T00:00:00"/>
    <x v="4"/>
    <x v="1"/>
    <x v="2"/>
    <n v="420"/>
    <n v="3"/>
    <n v="1260"/>
    <n v="252"/>
    <x v="1"/>
    <n v="140"/>
  </r>
  <r>
    <n v="120"/>
    <d v="2024-02-20T00:00:00"/>
    <x v="0"/>
    <x v="0"/>
    <x v="0"/>
    <n v="950"/>
    <n v="2"/>
    <n v="1900"/>
    <n v="380"/>
    <x v="1"/>
    <n v="475"/>
  </r>
  <r>
    <n v="121"/>
    <d v="2024-03-01T00:00:00"/>
    <x v="1"/>
    <x v="0"/>
    <x v="2"/>
    <n v="520"/>
    <n v="3"/>
    <n v="1560"/>
    <n v="312"/>
    <x v="2"/>
    <n v="173.33"/>
  </r>
  <r>
    <n v="122"/>
    <d v="2024-03-03T00:00:00"/>
    <x v="2"/>
    <x v="0"/>
    <x v="3"/>
    <n v="310"/>
    <n v="2"/>
    <n v="620"/>
    <n v="124"/>
    <x v="2"/>
    <n v="155"/>
  </r>
  <r>
    <n v="123"/>
    <d v="2024-03-05T00:00:00"/>
    <x v="3"/>
    <x v="1"/>
    <x v="1"/>
    <n v="200"/>
    <n v="4"/>
    <n v="800"/>
    <n v="160"/>
    <x v="2"/>
    <n v="50"/>
  </r>
  <r>
    <n v="124"/>
    <d v="2024-03-07T00:00:00"/>
    <x v="4"/>
    <x v="1"/>
    <x v="0"/>
    <n v="390"/>
    <n v="2"/>
    <n v="780"/>
    <n v="156"/>
    <x v="2"/>
    <n v="195"/>
  </r>
  <r>
    <n v="125"/>
    <d v="2024-03-09T00:00:00"/>
    <x v="0"/>
    <x v="0"/>
    <x v="2"/>
    <n v="1100"/>
    <n v="1"/>
    <n v="1100"/>
    <n v="220"/>
    <x v="2"/>
    <n v="1100"/>
  </r>
  <r>
    <n v="126"/>
    <d v="2024-03-11T00:00:00"/>
    <x v="1"/>
    <x v="0"/>
    <x v="0"/>
    <n v="480"/>
    <n v="2"/>
    <n v="960"/>
    <n v="192"/>
    <x v="2"/>
    <n v="240"/>
  </r>
  <r>
    <n v="127"/>
    <d v="2024-03-13T00:00:00"/>
    <x v="2"/>
    <x v="0"/>
    <x v="1"/>
    <n v="330"/>
    <n v="2"/>
    <n v="660"/>
    <n v="132"/>
    <x v="2"/>
    <n v="165"/>
  </r>
  <r>
    <n v="128"/>
    <d v="2024-03-15T00:00:00"/>
    <x v="3"/>
    <x v="1"/>
    <x v="3"/>
    <n v="210"/>
    <n v="3"/>
    <n v="630"/>
    <n v="126"/>
    <x v="2"/>
    <n v="70"/>
  </r>
  <r>
    <n v="129"/>
    <d v="2024-03-17T00:00:00"/>
    <x v="4"/>
    <x v="1"/>
    <x v="2"/>
    <n v="450"/>
    <n v="2"/>
    <n v="900"/>
    <n v="180"/>
    <x v="2"/>
    <n v="225"/>
  </r>
  <r>
    <n v="130"/>
    <d v="2024-03-19T00:00:00"/>
    <x v="0"/>
    <x v="0"/>
    <x v="1"/>
    <n v="980"/>
    <n v="2"/>
    <n v="1960"/>
    <n v="392"/>
    <x v="2"/>
    <n v="490"/>
  </r>
  <r>
    <n v="131"/>
    <d v="2024-04-01T00:00:00"/>
    <x v="1"/>
    <x v="0"/>
    <x v="0"/>
    <n v="500"/>
    <n v="3"/>
    <n v="1500"/>
    <n v="300"/>
    <x v="3"/>
    <n v="166.67"/>
  </r>
  <r>
    <n v="132"/>
    <d v="2024-04-03T00:00:00"/>
    <x v="2"/>
    <x v="0"/>
    <x v="2"/>
    <n v="340"/>
    <n v="2"/>
    <n v="680"/>
    <n v="136"/>
    <x v="3"/>
    <n v="170"/>
  </r>
  <r>
    <n v="133"/>
    <d v="2024-04-05T00:00:00"/>
    <x v="3"/>
    <x v="1"/>
    <x v="3"/>
    <n v="230"/>
    <n v="2"/>
    <n v="460"/>
    <n v="92"/>
    <x v="3"/>
    <n v="115"/>
  </r>
  <r>
    <n v="134"/>
    <d v="2024-04-07T00:00:00"/>
    <x v="4"/>
    <x v="1"/>
    <x v="1"/>
    <n v="410"/>
    <n v="3"/>
    <n v="1230"/>
    <n v="246"/>
    <x v="3"/>
    <n v="136.66999999999999"/>
  </r>
  <r>
    <n v="135"/>
    <d v="2024-04-09T00:00:00"/>
    <x v="0"/>
    <x v="0"/>
    <x v="0"/>
    <n v="1200"/>
    <n v="1"/>
    <n v="1200"/>
    <n v="240"/>
    <x v="3"/>
    <n v="1200"/>
  </r>
  <r>
    <n v="136"/>
    <d v="2024-04-11T00:00:00"/>
    <x v="1"/>
    <x v="0"/>
    <x v="2"/>
    <n v="550"/>
    <n v="4"/>
    <n v="2200"/>
    <n v="440"/>
    <x v="3"/>
    <n v="137.5"/>
  </r>
  <r>
    <n v="137"/>
    <d v="2024-04-13T00:00:00"/>
    <x v="2"/>
    <x v="0"/>
    <x v="3"/>
    <n v="320"/>
    <n v="2"/>
    <n v="640"/>
    <n v="128"/>
    <x v="3"/>
    <n v="160"/>
  </r>
  <r>
    <n v="138"/>
    <d v="2024-04-15T00:00:00"/>
    <x v="3"/>
    <x v="1"/>
    <x v="0"/>
    <n v="240"/>
    <n v="3"/>
    <n v="720"/>
    <n v="144"/>
    <x v="3"/>
    <n v="80"/>
  </r>
  <r>
    <n v="139"/>
    <d v="2024-04-17T00:00:00"/>
    <x v="4"/>
    <x v="1"/>
    <x v="2"/>
    <n v="460"/>
    <n v="2"/>
    <n v="920"/>
    <n v="184"/>
    <x v="3"/>
    <n v="230"/>
  </r>
  <r>
    <n v="140"/>
    <d v="2024-04-19T00:00:00"/>
    <x v="0"/>
    <x v="0"/>
    <x v="3"/>
    <n v="1050"/>
    <n v="2"/>
    <n v="2100"/>
    <n v="420"/>
    <x v="3"/>
    <n v="525"/>
  </r>
  <r>
    <n v="141"/>
    <d v="2024-05-01T00:00:00"/>
    <x v="1"/>
    <x v="0"/>
    <x v="1"/>
    <n v="600"/>
    <n v="3"/>
    <n v="1800"/>
    <n v="360"/>
    <x v="4"/>
    <n v="200"/>
  </r>
  <r>
    <n v="142"/>
    <d v="2024-05-03T00:00:00"/>
    <x v="2"/>
    <x v="0"/>
    <x v="0"/>
    <n v="350"/>
    <n v="2"/>
    <n v="700"/>
    <n v="140"/>
    <x v="4"/>
    <n v="175"/>
  </r>
  <r>
    <n v="143"/>
    <d v="2024-05-05T00:00:00"/>
    <x v="3"/>
    <x v="1"/>
    <x v="2"/>
    <n v="250"/>
    <n v="3"/>
    <n v="750"/>
    <n v="150"/>
    <x v="4"/>
    <n v="83.33"/>
  </r>
  <r>
    <n v="144"/>
    <d v="2024-05-07T00:00:00"/>
    <x v="4"/>
    <x v="1"/>
    <x v="3"/>
    <n v="420"/>
    <n v="2"/>
    <n v="840"/>
    <n v="168"/>
    <x v="4"/>
    <n v="210"/>
  </r>
  <r>
    <n v="145"/>
    <d v="2024-05-09T00:00:00"/>
    <x v="0"/>
    <x v="0"/>
    <x v="1"/>
    <n v="1150"/>
    <n v="1"/>
    <n v="1150"/>
    <n v="230"/>
    <x v="4"/>
    <n v="1150"/>
  </r>
  <r>
    <n v="146"/>
    <d v="2024-05-11T00:00:00"/>
    <x v="1"/>
    <x v="0"/>
    <x v="0"/>
    <n v="520"/>
    <n v="2"/>
    <n v="1040"/>
    <n v="208"/>
    <x v="4"/>
    <n v="260"/>
  </r>
  <r>
    <n v="147"/>
    <d v="2024-05-13T00:00:00"/>
    <x v="2"/>
    <x v="0"/>
    <x v="2"/>
    <n v="360"/>
    <n v="3"/>
    <n v="1080"/>
    <n v="216"/>
    <x v="4"/>
    <n v="120"/>
  </r>
  <r>
    <n v="148"/>
    <d v="2024-05-15T00:00:00"/>
    <x v="3"/>
    <x v="1"/>
    <x v="3"/>
    <n v="260"/>
    <n v="2"/>
    <n v="520"/>
    <n v="104"/>
    <x v="4"/>
    <n v="130"/>
  </r>
  <r>
    <n v="149"/>
    <d v="2024-05-17T00:00:00"/>
    <x v="4"/>
    <x v="1"/>
    <x v="0"/>
    <n v="430"/>
    <n v="3"/>
    <n v="1290"/>
    <n v="258"/>
    <x v="4"/>
    <n v="143.33000000000001"/>
  </r>
  <r>
    <n v="150"/>
    <d v="2024-05-19T00:00:00"/>
    <x v="0"/>
    <x v="0"/>
    <x v="2"/>
    <n v="1250"/>
    <n v="2"/>
    <n v="2500"/>
    <n v="500"/>
    <x v="4"/>
    <n v="625"/>
  </r>
  <r>
    <n v="151"/>
    <d v="2024-06-01T00:00:00"/>
    <x v="1"/>
    <x v="0"/>
    <x v="3"/>
    <n v="580"/>
    <n v="3"/>
    <n v="1740"/>
    <n v="348"/>
    <x v="5"/>
    <n v="193.33"/>
  </r>
  <r>
    <n v="152"/>
    <d v="2024-06-03T00:00:00"/>
    <x v="2"/>
    <x v="0"/>
    <x v="1"/>
    <n v="370"/>
    <n v="2"/>
    <n v="740"/>
    <n v="148"/>
    <x v="5"/>
    <n v="185"/>
  </r>
  <r>
    <n v="153"/>
    <d v="2024-06-05T00:00:00"/>
    <x v="3"/>
    <x v="1"/>
    <x v="0"/>
    <n v="270"/>
    <n v="2"/>
    <n v="540"/>
    <n v="108"/>
    <x v="5"/>
    <n v="135"/>
  </r>
  <r>
    <n v="154"/>
    <d v="2024-06-07T00:00:00"/>
    <x v="4"/>
    <x v="1"/>
    <x v="2"/>
    <n v="470"/>
    <n v="3"/>
    <n v="1410"/>
    <n v="282"/>
    <x v="5"/>
    <n v="156.66999999999999"/>
  </r>
  <r>
    <n v="155"/>
    <d v="2024-06-09T00:00:00"/>
    <x v="0"/>
    <x v="0"/>
    <x v="0"/>
    <n v="1300"/>
    <n v="1"/>
    <n v="1300"/>
    <n v="260"/>
    <x v="5"/>
    <n v="1300"/>
  </r>
  <r>
    <n v="156"/>
    <d v="2024-06-11T00:00:00"/>
    <x v="1"/>
    <x v="0"/>
    <x v="1"/>
    <n v="610"/>
    <n v="2"/>
    <n v="1220"/>
    <n v="244"/>
    <x v="5"/>
    <n v="305"/>
  </r>
  <r>
    <n v="157"/>
    <d v="2024-06-13T00:00:00"/>
    <x v="2"/>
    <x v="0"/>
    <x v="3"/>
    <n v="390"/>
    <n v="3"/>
    <n v="1170"/>
    <n v="234"/>
    <x v="5"/>
    <n v="130"/>
  </r>
  <r>
    <n v="158"/>
    <d v="2024-06-15T00:00:00"/>
    <x v="3"/>
    <x v="1"/>
    <x v="2"/>
    <n v="280"/>
    <n v="2"/>
    <n v="560"/>
    <n v="112"/>
    <x v="5"/>
    <n v="140"/>
  </r>
  <r>
    <n v="159"/>
    <d v="2024-06-17T00:00:00"/>
    <x v="4"/>
    <x v="1"/>
    <x v="0"/>
    <n v="440"/>
    <n v="3"/>
    <n v="1320"/>
    <n v="264"/>
    <x v="5"/>
    <n v="146.66999999999999"/>
  </r>
  <r>
    <n v="160"/>
    <d v="2024-06-19T00:00:00"/>
    <x v="0"/>
    <x v="0"/>
    <x v="3"/>
    <n v="1400"/>
    <n v="2"/>
    <n v="2800"/>
    <n v="560"/>
    <x v="5"/>
    <n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B10" firstHeaderRow="1" firstDataRow="1" firstDataCol="1"/>
  <pivotFields count="11">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5">
        <item x="0"/>
        <item x="2"/>
        <item x="3"/>
        <item x="1"/>
        <item t="default"/>
      </items>
    </pivotField>
    <pivotField showAll="0"/>
    <pivotField showAll="0"/>
    <pivotField dataField="1" showAll="0"/>
    <pivotField showAll="0"/>
    <pivotField showAll="0">
      <items count="7">
        <item x="0"/>
        <item x="1"/>
        <item x="2"/>
        <item x="3"/>
        <item x="4"/>
        <item x="5"/>
        <item t="default"/>
      </items>
    </pivotField>
    <pivotField showAll="0"/>
  </pivotFields>
  <rowFields count="1">
    <field x="2"/>
  </rowFields>
  <rowItems count="6">
    <i>
      <x v="2"/>
    </i>
    <i>
      <x v="3"/>
    </i>
    <i>
      <x v="1"/>
    </i>
    <i>
      <x v="4"/>
    </i>
    <i>
      <x/>
    </i>
    <i t="grand">
      <x/>
    </i>
  </rowItems>
  <colItems count="1">
    <i/>
  </colItems>
  <dataFields count="1">
    <dataField name="Sum of Revenue" fld="7" baseField="0" baseItem="0" numFmtId="165"/>
  </dataFields>
  <formats count="3">
    <format dxfId="2">
      <pivotArea type="all" dataOnly="0" outline="0" fieldPosition="0"/>
    </format>
    <format dxfId="1">
      <pivotArea outline="0" collapsedLevelsAreSubtotals="1" fieldPosition="0"/>
    </format>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4:K11" firstHeaderRow="1" firstDataRow="1" firstDataCol="1"/>
  <pivotFields count="11">
    <pivotField showAll="0"/>
    <pivotField numFmtId="14" showAll="0"/>
    <pivotField showAll="0"/>
    <pivotField showAll="0"/>
    <pivotField showAll="0"/>
    <pivotField showAll="0"/>
    <pivotField showAll="0"/>
    <pivotField dataField="1" showAll="0"/>
    <pivotField showAll="0"/>
    <pivotField axis="axisRow" showAll="0">
      <items count="7">
        <item x="0"/>
        <item x="1"/>
        <item x="2"/>
        <item x="3"/>
        <item x="4"/>
        <item x="5"/>
        <item t="default"/>
      </items>
    </pivotField>
    <pivotField showAll="0"/>
  </pivotFields>
  <rowFields count="1">
    <field x="9"/>
  </rowFields>
  <rowItems count="7">
    <i>
      <x/>
    </i>
    <i>
      <x v="1"/>
    </i>
    <i>
      <x v="2"/>
    </i>
    <i>
      <x v="3"/>
    </i>
    <i>
      <x v="4"/>
    </i>
    <i>
      <x v="5"/>
    </i>
    <i t="grand">
      <x/>
    </i>
  </rowItems>
  <colItems count="1">
    <i/>
  </colItems>
  <dataFields count="1">
    <dataField name="Sum of Revenue" fld="7" baseField="0" baseItem="0" numFmtId="165"/>
  </dataFields>
  <formats count="2">
    <format dxfId="4">
      <pivotArea outline="0" collapsedLevelsAreSubtotals="1" fieldPosition="0"/>
    </format>
    <format dxfId="3">
      <pivotArea type="all" dataOnly="0"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G4:H7" firstHeaderRow="1" firstDataRow="1" firstDataCol="1"/>
  <pivotFields count="11">
    <pivotField showAll="0"/>
    <pivotField numFmtId="14" showAll="0"/>
    <pivotField showAll="0"/>
    <pivotField axis="axisRow" showAll="0">
      <items count="3">
        <item x="0"/>
        <item x="1"/>
        <item t="default"/>
      </items>
    </pivotField>
    <pivotField showAll="0"/>
    <pivotField showAll="0"/>
    <pivotField showAll="0"/>
    <pivotField dataField="1" showAll="0"/>
    <pivotField showAll="0"/>
    <pivotField showAll="0">
      <items count="7">
        <item x="0"/>
        <item x="1"/>
        <item x="2"/>
        <item x="3"/>
        <item x="4"/>
        <item x="5"/>
        <item t="default"/>
      </items>
    </pivotField>
    <pivotField showAll="0"/>
  </pivotFields>
  <rowFields count="1">
    <field x="3"/>
  </rowFields>
  <rowItems count="3">
    <i>
      <x/>
    </i>
    <i>
      <x v="1"/>
    </i>
    <i t="grand">
      <x/>
    </i>
  </rowItems>
  <colItems count="1">
    <i/>
  </colItems>
  <dataFields count="1">
    <dataField name="Sum of Revenue" fld="7" baseField="0" baseItem="0" numFmtId="165"/>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4:E9" firstHeaderRow="1" firstDataRow="1" firstDataCol="1"/>
  <pivotFields count="11">
    <pivotField showAll="0"/>
    <pivotField numFmtId="14"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7">
        <item x="0"/>
        <item x="1"/>
        <item x="2"/>
        <item x="3"/>
        <item x="4"/>
        <item x="5"/>
        <item t="default"/>
      </items>
    </pivotField>
    <pivotField showAll="0"/>
  </pivotFields>
  <rowFields count="1">
    <field x="4"/>
  </rowFields>
  <rowItems count="5">
    <i>
      <x v="1"/>
    </i>
    <i>
      <x/>
    </i>
    <i>
      <x v="2"/>
    </i>
    <i>
      <x v="3"/>
    </i>
    <i t="grand">
      <x/>
    </i>
  </rowItems>
  <colItems count="1">
    <i/>
  </colItems>
  <dataFields count="1">
    <dataField name="Sum of Revenue" fld="7" baseField="0" baseItem="0" numFmtId="165"/>
  </dataFields>
  <formats count="2">
    <format dxfId="9">
      <pivotArea type="all" dataOnly="0" outline="0" fieldPosition="0"/>
    </format>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1"/>
    <pivotTable tabId="5" name="PivotTable2"/>
    <pivotTable tabId="5" name="PivotTable3"/>
    <pivotTable tabId="5" name="PivotTable4"/>
  </pivotTables>
  <data>
    <tabular pivotCacheId="1">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 name="Region" cache="Slicer_Region" caption="Reg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61"/>
  <sheetViews>
    <sheetView tabSelected="1" workbookViewId="0">
      <selection activeCell="L21" sqref="L21"/>
    </sheetView>
  </sheetViews>
  <sheetFormatPr defaultRowHeight="14.4" x14ac:dyDescent="0.3"/>
  <cols>
    <col min="1" max="1" width="8.44140625" bestFit="1" customWidth="1"/>
    <col min="2" max="2" width="9.5546875" bestFit="1" customWidth="1"/>
    <col min="3" max="3" width="8.33203125" bestFit="1" customWidth="1"/>
    <col min="4" max="4" width="9.88671875" bestFit="1" customWidth="1"/>
    <col min="5" max="5" width="7.33203125" bestFit="1" customWidth="1"/>
    <col min="6" max="6" width="9" bestFit="1" customWidth="1"/>
    <col min="7" max="7" width="9.21875" bestFit="1" customWidth="1"/>
    <col min="8" max="8" width="9" bestFit="1" customWidth="1"/>
    <col min="9" max="9" width="7.5546875" bestFit="1" customWidth="1"/>
    <col min="10" max="10" width="7.33203125" bestFit="1" customWidth="1"/>
    <col min="11" max="11" width="13.6640625" bestFit="1" customWidth="1"/>
  </cols>
  <sheetData>
    <row r="1" spans="1:13" ht="15.6" x14ac:dyDescent="0.3">
      <c r="A1" s="6" t="s">
        <v>0</v>
      </c>
      <c r="B1" s="6" t="s">
        <v>1</v>
      </c>
      <c r="C1" s="6" t="s">
        <v>2</v>
      </c>
      <c r="D1" s="6" t="s">
        <v>3</v>
      </c>
      <c r="E1" s="6" t="s">
        <v>4</v>
      </c>
      <c r="F1" s="6" t="s">
        <v>5</v>
      </c>
      <c r="G1" s="6" t="s">
        <v>6</v>
      </c>
      <c r="H1" s="6" t="s">
        <v>18</v>
      </c>
      <c r="I1" s="6" t="s">
        <v>19</v>
      </c>
      <c r="J1" s="6" t="s">
        <v>20</v>
      </c>
      <c r="K1" s="6" t="s">
        <v>21</v>
      </c>
    </row>
    <row r="2" spans="1:13" x14ac:dyDescent="0.3">
      <c r="A2" s="10">
        <v>101</v>
      </c>
      <c r="B2" s="7">
        <v>45296</v>
      </c>
      <c r="C2" s="8" t="s">
        <v>7</v>
      </c>
      <c r="D2" s="8" t="s">
        <v>8</v>
      </c>
      <c r="E2" s="8" t="s">
        <v>9</v>
      </c>
      <c r="F2" s="17">
        <v>800</v>
      </c>
      <c r="G2" s="9">
        <v>2</v>
      </c>
      <c r="H2" s="17">
        <f>F2*G2</f>
        <v>1600</v>
      </c>
      <c r="I2" s="17">
        <f>H2*0.2</f>
        <v>320</v>
      </c>
      <c r="J2" s="8" t="str">
        <f>TEXT(B2,"mmm")</f>
        <v>Jan</v>
      </c>
      <c r="K2" s="17">
        <f>ROUND(F2/G2,2)</f>
        <v>400</v>
      </c>
    </row>
    <row r="3" spans="1:13" x14ac:dyDescent="0.3">
      <c r="A3" s="10">
        <v>102</v>
      </c>
      <c r="B3" s="7">
        <v>45298</v>
      </c>
      <c r="C3" s="8" t="s">
        <v>10</v>
      </c>
      <c r="D3" s="8" t="s">
        <v>8</v>
      </c>
      <c r="E3" s="8" t="s">
        <v>11</v>
      </c>
      <c r="F3" s="17">
        <v>400</v>
      </c>
      <c r="G3" s="9">
        <v>3</v>
      </c>
      <c r="H3" s="17">
        <f t="shared" ref="H3:H61" si="0">F3*G3</f>
        <v>1200</v>
      </c>
      <c r="I3" s="17">
        <f t="shared" ref="I3:I61" si="1">H3*0.2</f>
        <v>240</v>
      </c>
      <c r="J3" s="8" t="str">
        <f t="shared" ref="J3:J61" si="2">TEXT(B3,"mmm")</f>
        <v>Jan</v>
      </c>
      <c r="K3" s="17">
        <f t="shared" ref="K3:K61" si="3">ROUND(F3/G3,2)</f>
        <v>133.33000000000001</v>
      </c>
    </row>
    <row r="4" spans="1:13" x14ac:dyDescent="0.3">
      <c r="A4" s="10">
        <v>103</v>
      </c>
      <c r="B4" s="7">
        <v>45301</v>
      </c>
      <c r="C4" s="8" t="s">
        <v>12</v>
      </c>
      <c r="D4" s="8" t="s">
        <v>8</v>
      </c>
      <c r="E4" s="8" t="s">
        <v>13</v>
      </c>
      <c r="F4" s="17">
        <v>300</v>
      </c>
      <c r="G4" s="9">
        <v>2</v>
      </c>
      <c r="H4" s="17">
        <f t="shared" si="0"/>
        <v>600</v>
      </c>
      <c r="I4" s="17">
        <f t="shared" si="1"/>
        <v>120</v>
      </c>
      <c r="J4" s="8" t="str">
        <f t="shared" si="2"/>
        <v>Jan</v>
      </c>
      <c r="K4" s="17">
        <f t="shared" si="3"/>
        <v>150</v>
      </c>
    </row>
    <row r="5" spans="1:13" x14ac:dyDescent="0.3">
      <c r="A5" s="10">
        <v>104</v>
      </c>
      <c r="B5" s="7">
        <v>45303</v>
      </c>
      <c r="C5" s="8" t="s">
        <v>14</v>
      </c>
      <c r="D5" s="8" t="s">
        <v>15</v>
      </c>
      <c r="E5" s="8" t="s">
        <v>16</v>
      </c>
      <c r="F5" s="17">
        <v>200</v>
      </c>
      <c r="G5" s="9">
        <v>4</v>
      </c>
      <c r="H5" s="17">
        <f t="shared" si="0"/>
        <v>800</v>
      </c>
      <c r="I5" s="17">
        <f t="shared" si="1"/>
        <v>160</v>
      </c>
      <c r="J5" s="8" t="str">
        <f t="shared" si="2"/>
        <v>Jan</v>
      </c>
      <c r="K5" s="17">
        <f t="shared" si="3"/>
        <v>50</v>
      </c>
    </row>
    <row r="6" spans="1:13" x14ac:dyDescent="0.3">
      <c r="A6" s="10">
        <v>105</v>
      </c>
      <c r="B6" s="7">
        <v>45306</v>
      </c>
      <c r="C6" s="8" t="s">
        <v>17</v>
      </c>
      <c r="D6" s="8" t="s">
        <v>15</v>
      </c>
      <c r="E6" s="8" t="s">
        <v>9</v>
      </c>
      <c r="F6" s="17">
        <v>350</v>
      </c>
      <c r="G6" s="9">
        <v>2</v>
      </c>
      <c r="H6" s="17">
        <f t="shared" si="0"/>
        <v>700</v>
      </c>
      <c r="I6" s="17">
        <f t="shared" si="1"/>
        <v>140</v>
      </c>
      <c r="J6" s="8" t="str">
        <f t="shared" si="2"/>
        <v>Jan</v>
      </c>
      <c r="K6" s="17">
        <f t="shared" si="3"/>
        <v>175</v>
      </c>
    </row>
    <row r="7" spans="1:13" x14ac:dyDescent="0.3">
      <c r="A7" s="10">
        <v>106</v>
      </c>
      <c r="B7" s="7">
        <v>45309</v>
      </c>
      <c r="C7" s="8" t="s">
        <v>7</v>
      </c>
      <c r="D7" s="8" t="s">
        <v>8</v>
      </c>
      <c r="E7" s="8" t="s">
        <v>11</v>
      </c>
      <c r="F7" s="17">
        <v>900</v>
      </c>
      <c r="G7" s="9">
        <v>1</v>
      </c>
      <c r="H7" s="17">
        <f t="shared" si="0"/>
        <v>900</v>
      </c>
      <c r="I7" s="17">
        <f t="shared" si="1"/>
        <v>180</v>
      </c>
      <c r="J7" s="8" t="str">
        <f t="shared" si="2"/>
        <v>Jan</v>
      </c>
      <c r="K7" s="17">
        <f t="shared" si="3"/>
        <v>900</v>
      </c>
    </row>
    <row r="8" spans="1:13" x14ac:dyDescent="0.3">
      <c r="A8" s="10">
        <v>107</v>
      </c>
      <c r="B8" s="7">
        <v>45311</v>
      </c>
      <c r="C8" s="8" t="s">
        <v>10</v>
      </c>
      <c r="D8" s="8" t="s">
        <v>8</v>
      </c>
      <c r="E8" s="8" t="s">
        <v>13</v>
      </c>
      <c r="F8" s="17">
        <v>500</v>
      </c>
      <c r="G8" s="9">
        <v>5</v>
      </c>
      <c r="H8" s="17">
        <f t="shared" si="0"/>
        <v>2500</v>
      </c>
      <c r="I8" s="17">
        <f t="shared" si="1"/>
        <v>500</v>
      </c>
      <c r="J8" s="8" t="str">
        <f t="shared" si="2"/>
        <v>Jan</v>
      </c>
      <c r="K8" s="17">
        <f t="shared" si="3"/>
        <v>100</v>
      </c>
    </row>
    <row r="9" spans="1:13" x14ac:dyDescent="0.3">
      <c r="A9" s="10">
        <v>108</v>
      </c>
      <c r="B9" s="7">
        <v>45313</v>
      </c>
      <c r="C9" s="8" t="s">
        <v>14</v>
      </c>
      <c r="D9" s="8" t="s">
        <v>15</v>
      </c>
      <c r="E9" s="8" t="s">
        <v>9</v>
      </c>
      <c r="F9" s="17">
        <v>250</v>
      </c>
      <c r="G9" s="9">
        <v>3</v>
      </c>
      <c r="H9" s="17">
        <f t="shared" si="0"/>
        <v>750</v>
      </c>
      <c r="I9" s="17">
        <f t="shared" si="1"/>
        <v>150</v>
      </c>
      <c r="J9" s="8" t="str">
        <f t="shared" si="2"/>
        <v>Jan</v>
      </c>
      <c r="K9" s="17">
        <f t="shared" si="3"/>
        <v>83.33</v>
      </c>
    </row>
    <row r="10" spans="1:13" x14ac:dyDescent="0.3">
      <c r="A10" s="10">
        <v>109</v>
      </c>
      <c r="B10" s="7">
        <v>45316</v>
      </c>
      <c r="C10" s="8" t="s">
        <v>17</v>
      </c>
      <c r="D10" s="8" t="s">
        <v>15</v>
      </c>
      <c r="E10" s="8" t="s">
        <v>16</v>
      </c>
      <c r="F10" s="17">
        <v>400</v>
      </c>
      <c r="G10" s="9">
        <v>2</v>
      </c>
      <c r="H10" s="17">
        <f t="shared" si="0"/>
        <v>800</v>
      </c>
      <c r="I10" s="17">
        <f t="shared" si="1"/>
        <v>160</v>
      </c>
      <c r="J10" s="8" t="str">
        <f t="shared" si="2"/>
        <v>Jan</v>
      </c>
      <c r="K10" s="17">
        <f t="shared" si="3"/>
        <v>200</v>
      </c>
    </row>
    <row r="11" spans="1:13" x14ac:dyDescent="0.3">
      <c r="A11" s="10">
        <v>110</v>
      </c>
      <c r="B11" s="7">
        <v>45319</v>
      </c>
      <c r="C11" s="8" t="s">
        <v>7</v>
      </c>
      <c r="D11" s="8" t="s">
        <v>8</v>
      </c>
      <c r="E11" s="8" t="s">
        <v>13</v>
      </c>
      <c r="F11" s="17">
        <v>1000</v>
      </c>
      <c r="G11" s="9">
        <v>2</v>
      </c>
      <c r="H11" s="17">
        <f t="shared" si="0"/>
        <v>2000</v>
      </c>
      <c r="I11" s="17">
        <f t="shared" si="1"/>
        <v>400</v>
      </c>
      <c r="J11" s="8" t="str">
        <f t="shared" si="2"/>
        <v>Jan</v>
      </c>
      <c r="K11" s="17">
        <f t="shared" si="3"/>
        <v>500</v>
      </c>
    </row>
    <row r="12" spans="1:13" x14ac:dyDescent="0.3">
      <c r="A12" s="10">
        <v>111</v>
      </c>
      <c r="B12" s="7">
        <v>45324</v>
      </c>
      <c r="C12" s="8" t="s">
        <v>10</v>
      </c>
      <c r="D12" s="8" t="s">
        <v>8</v>
      </c>
      <c r="E12" s="8" t="s">
        <v>9</v>
      </c>
      <c r="F12" s="17">
        <v>450</v>
      </c>
      <c r="G12" s="9">
        <v>2</v>
      </c>
      <c r="H12" s="17">
        <f t="shared" si="0"/>
        <v>900</v>
      </c>
      <c r="I12" s="17">
        <f t="shared" si="1"/>
        <v>180</v>
      </c>
      <c r="J12" s="8" t="str">
        <f t="shared" si="2"/>
        <v>Feb</v>
      </c>
      <c r="K12" s="17">
        <f t="shared" si="3"/>
        <v>225</v>
      </c>
    </row>
    <row r="13" spans="1:13" x14ac:dyDescent="0.3">
      <c r="A13" s="10">
        <v>112</v>
      </c>
      <c r="B13" s="7">
        <v>45326</v>
      </c>
      <c r="C13" s="8" t="s">
        <v>12</v>
      </c>
      <c r="D13" s="8" t="s">
        <v>8</v>
      </c>
      <c r="E13" s="8" t="s">
        <v>11</v>
      </c>
      <c r="F13" s="17">
        <v>320</v>
      </c>
      <c r="G13" s="9">
        <v>1</v>
      </c>
      <c r="H13" s="17">
        <f t="shared" si="0"/>
        <v>320</v>
      </c>
      <c r="I13" s="17">
        <f t="shared" si="1"/>
        <v>64</v>
      </c>
      <c r="J13" s="8" t="str">
        <f t="shared" si="2"/>
        <v>Feb</v>
      </c>
      <c r="K13" s="17">
        <f t="shared" si="3"/>
        <v>320</v>
      </c>
    </row>
    <row r="14" spans="1:13" x14ac:dyDescent="0.3">
      <c r="A14" s="10">
        <v>113</v>
      </c>
      <c r="B14" s="7">
        <v>45328</v>
      </c>
      <c r="C14" s="8" t="s">
        <v>14</v>
      </c>
      <c r="D14" s="8" t="s">
        <v>15</v>
      </c>
      <c r="E14" s="8" t="s">
        <v>13</v>
      </c>
      <c r="F14" s="17">
        <v>180</v>
      </c>
      <c r="G14" s="9">
        <v>3</v>
      </c>
      <c r="H14" s="17">
        <f t="shared" si="0"/>
        <v>540</v>
      </c>
      <c r="I14" s="17">
        <f t="shared" si="1"/>
        <v>108</v>
      </c>
      <c r="J14" s="8" t="str">
        <f t="shared" si="2"/>
        <v>Feb</v>
      </c>
      <c r="K14" s="17">
        <f t="shared" si="3"/>
        <v>60</v>
      </c>
      <c r="M14" s="16"/>
    </row>
    <row r="15" spans="1:13" x14ac:dyDescent="0.3">
      <c r="A15" s="10">
        <v>114</v>
      </c>
      <c r="B15" s="7">
        <v>45330</v>
      </c>
      <c r="C15" s="8" t="s">
        <v>17</v>
      </c>
      <c r="D15" s="8" t="s">
        <v>15</v>
      </c>
      <c r="E15" s="8" t="s">
        <v>9</v>
      </c>
      <c r="F15" s="17">
        <v>370</v>
      </c>
      <c r="G15" s="9">
        <v>2</v>
      </c>
      <c r="H15" s="17">
        <f t="shared" si="0"/>
        <v>740</v>
      </c>
      <c r="I15" s="17">
        <f t="shared" si="1"/>
        <v>148</v>
      </c>
      <c r="J15" s="8" t="str">
        <f t="shared" si="2"/>
        <v>Feb</v>
      </c>
      <c r="K15" s="17">
        <f t="shared" si="3"/>
        <v>185</v>
      </c>
    </row>
    <row r="16" spans="1:13" x14ac:dyDescent="0.3">
      <c r="A16" s="10">
        <v>115</v>
      </c>
      <c r="B16" s="7">
        <v>45332</v>
      </c>
      <c r="C16" s="8" t="s">
        <v>7</v>
      </c>
      <c r="D16" s="8" t="s">
        <v>8</v>
      </c>
      <c r="E16" s="8" t="s">
        <v>16</v>
      </c>
      <c r="F16" s="17">
        <v>850</v>
      </c>
      <c r="G16" s="9">
        <v>1</v>
      </c>
      <c r="H16" s="17">
        <f t="shared" si="0"/>
        <v>850</v>
      </c>
      <c r="I16" s="17">
        <f t="shared" si="1"/>
        <v>170</v>
      </c>
      <c r="J16" s="8" t="str">
        <f t="shared" si="2"/>
        <v>Feb</v>
      </c>
      <c r="K16" s="17">
        <f t="shared" si="3"/>
        <v>850</v>
      </c>
    </row>
    <row r="17" spans="1:11" x14ac:dyDescent="0.3">
      <c r="A17" s="10">
        <v>116</v>
      </c>
      <c r="B17" s="7">
        <v>45334</v>
      </c>
      <c r="C17" s="8" t="s">
        <v>10</v>
      </c>
      <c r="D17" s="8" t="s">
        <v>8</v>
      </c>
      <c r="E17" s="8" t="s">
        <v>11</v>
      </c>
      <c r="F17" s="17">
        <v>600</v>
      </c>
      <c r="G17" s="9">
        <v>4</v>
      </c>
      <c r="H17" s="17">
        <f t="shared" si="0"/>
        <v>2400</v>
      </c>
      <c r="I17" s="17">
        <f t="shared" si="1"/>
        <v>480</v>
      </c>
      <c r="J17" s="8" t="str">
        <f t="shared" si="2"/>
        <v>Feb</v>
      </c>
      <c r="K17" s="17">
        <f t="shared" si="3"/>
        <v>150</v>
      </c>
    </row>
    <row r="18" spans="1:11" x14ac:dyDescent="0.3">
      <c r="A18" s="10">
        <v>117</v>
      </c>
      <c r="B18" s="7">
        <v>45336</v>
      </c>
      <c r="C18" s="8" t="s">
        <v>12</v>
      </c>
      <c r="D18" s="8" t="s">
        <v>8</v>
      </c>
      <c r="E18" s="8" t="s">
        <v>9</v>
      </c>
      <c r="F18" s="17">
        <v>290</v>
      </c>
      <c r="G18" s="9">
        <v>2</v>
      </c>
      <c r="H18" s="17">
        <f t="shared" si="0"/>
        <v>580</v>
      </c>
      <c r="I18" s="17">
        <f t="shared" si="1"/>
        <v>116</v>
      </c>
      <c r="J18" s="8" t="str">
        <f t="shared" si="2"/>
        <v>Feb</v>
      </c>
      <c r="K18" s="17">
        <f t="shared" si="3"/>
        <v>145</v>
      </c>
    </row>
    <row r="19" spans="1:11" x14ac:dyDescent="0.3">
      <c r="A19" s="10">
        <v>118</v>
      </c>
      <c r="B19" s="7">
        <v>45338</v>
      </c>
      <c r="C19" s="8" t="s">
        <v>14</v>
      </c>
      <c r="D19" s="8" t="s">
        <v>15</v>
      </c>
      <c r="E19" s="8" t="s">
        <v>16</v>
      </c>
      <c r="F19" s="17">
        <v>220</v>
      </c>
      <c r="G19" s="9">
        <v>2</v>
      </c>
      <c r="H19" s="17">
        <f t="shared" si="0"/>
        <v>440</v>
      </c>
      <c r="I19" s="17">
        <f t="shared" si="1"/>
        <v>88</v>
      </c>
      <c r="J19" s="8" t="str">
        <f t="shared" si="2"/>
        <v>Feb</v>
      </c>
      <c r="K19" s="17">
        <f t="shared" si="3"/>
        <v>110</v>
      </c>
    </row>
    <row r="20" spans="1:11" x14ac:dyDescent="0.3">
      <c r="A20" s="10">
        <v>119</v>
      </c>
      <c r="B20" s="7">
        <v>45340</v>
      </c>
      <c r="C20" s="8" t="s">
        <v>17</v>
      </c>
      <c r="D20" s="8" t="s">
        <v>15</v>
      </c>
      <c r="E20" s="8" t="s">
        <v>13</v>
      </c>
      <c r="F20" s="17">
        <v>420</v>
      </c>
      <c r="G20" s="9">
        <v>3</v>
      </c>
      <c r="H20" s="17">
        <f t="shared" si="0"/>
        <v>1260</v>
      </c>
      <c r="I20" s="17">
        <f t="shared" si="1"/>
        <v>252</v>
      </c>
      <c r="J20" s="8" t="str">
        <f t="shared" si="2"/>
        <v>Feb</v>
      </c>
      <c r="K20" s="17">
        <f t="shared" si="3"/>
        <v>140</v>
      </c>
    </row>
    <row r="21" spans="1:11" x14ac:dyDescent="0.3">
      <c r="A21" s="10">
        <v>120</v>
      </c>
      <c r="B21" s="7">
        <v>45342</v>
      </c>
      <c r="C21" s="8" t="s">
        <v>7</v>
      </c>
      <c r="D21" s="8" t="s">
        <v>8</v>
      </c>
      <c r="E21" s="8" t="s">
        <v>9</v>
      </c>
      <c r="F21" s="17">
        <v>950</v>
      </c>
      <c r="G21" s="9">
        <v>2</v>
      </c>
      <c r="H21" s="17">
        <f t="shared" si="0"/>
        <v>1900</v>
      </c>
      <c r="I21" s="17">
        <f t="shared" si="1"/>
        <v>380</v>
      </c>
      <c r="J21" s="8" t="str">
        <f t="shared" si="2"/>
        <v>Feb</v>
      </c>
      <c r="K21" s="17">
        <f t="shared" si="3"/>
        <v>475</v>
      </c>
    </row>
    <row r="22" spans="1:11" x14ac:dyDescent="0.3">
      <c r="A22" s="10">
        <v>121</v>
      </c>
      <c r="B22" s="7">
        <v>45352</v>
      </c>
      <c r="C22" s="8" t="s">
        <v>10</v>
      </c>
      <c r="D22" s="8" t="s">
        <v>8</v>
      </c>
      <c r="E22" s="8" t="s">
        <v>13</v>
      </c>
      <c r="F22" s="17">
        <v>520</v>
      </c>
      <c r="G22" s="9">
        <v>3</v>
      </c>
      <c r="H22" s="17">
        <f t="shared" si="0"/>
        <v>1560</v>
      </c>
      <c r="I22" s="17">
        <f t="shared" si="1"/>
        <v>312</v>
      </c>
      <c r="J22" s="8" t="str">
        <f t="shared" si="2"/>
        <v>Mar</v>
      </c>
      <c r="K22" s="17">
        <f t="shared" si="3"/>
        <v>173.33</v>
      </c>
    </row>
    <row r="23" spans="1:11" x14ac:dyDescent="0.3">
      <c r="A23" s="10">
        <v>122</v>
      </c>
      <c r="B23" s="7">
        <v>45354</v>
      </c>
      <c r="C23" s="8" t="s">
        <v>12</v>
      </c>
      <c r="D23" s="8" t="s">
        <v>8</v>
      </c>
      <c r="E23" s="8" t="s">
        <v>16</v>
      </c>
      <c r="F23" s="17">
        <v>310</v>
      </c>
      <c r="G23" s="9">
        <v>2</v>
      </c>
      <c r="H23" s="17">
        <f t="shared" si="0"/>
        <v>620</v>
      </c>
      <c r="I23" s="17">
        <f t="shared" si="1"/>
        <v>124</v>
      </c>
      <c r="J23" s="8" t="str">
        <f t="shared" si="2"/>
        <v>Mar</v>
      </c>
      <c r="K23" s="17">
        <f t="shared" si="3"/>
        <v>155</v>
      </c>
    </row>
    <row r="24" spans="1:11" x14ac:dyDescent="0.3">
      <c r="A24" s="10">
        <v>123</v>
      </c>
      <c r="B24" s="7">
        <v>45356</v>
      </c>
      <c r="C24" s="8" t="s">
        <v>14</v>
      </c>
      <c r="D24" s="8" t="s">
        <v>15</v>
      </c>
      <c r="E24" s="8" t="s">
        <v>11</v>
      </c>
      <c r="F24" s="17">
        <v>200</v>
      </c>
      <c r="G24" s="9">
        <v>4</v>
      </c>
      <c r="H24" s="17">
        <f t="shared" si="0"/>
        <v>800</v>
      </c>
      <c r="I24" s="17">
        <f t="shared" si="1"/>
        <v>160</v>
      </c>
      <c r="J24" s="8" t="str">
        <f t="shared" si="2"/>
        <v>Mar</v>
      </c>
      <c r="K24" s="17">
        <f t="shared" si="3"/>
        <v>50</v>
      </c>
    </row>
    <row r="25" spans="1:11" x14ac:dyDescent="0.3">
      <c r="A25" s="10">
        <v>124</v>
      </c>
      <c r="B25" s="7">
        <v>45358</v>
      </c>
      <c r="C25" s="8" t="s">
        <v>17</v>
      </c>
      <c r="D25" s="8" t="s">
        <v>15</v>
      </c>
      <c r="E25" s="8" t="s">
        <v>9</v>
      </c>
      <c r="F25" s="17">
        <v>390</v>
      </c>
      <c r="G25" s="9">
        <v>2</v>
      </c>
      <c r="H25" s="17">
        <f t="shared" si="0"/>
        <v>780</v>
      </c>
      <c r="I25" s="17">
        <f t="shared" si="1"/>
        <v>156</v>
      </c>
      <c r="J25" s="8" t="str">
        <f t="shared" si="2"/>
        <v>Mar</v>
      </c>
      <c r="K25" s="17">
        <f t="shared" si="3"/>
        <v>195</v>
      </c>
    </row>
    <row r="26" spans="1:11" x14ac:dyDescent="0.3">
      <c r="A26" s="10">
        <v>125</v>
      </c>
      <c r="B26" s="7">
        <v>45360</v>
      </c>
      <c r="C26" s="8" t="s">
        <v>7</v>
      </c>
      <c r="D26" s="8" t="s">
        <v>8</v>
      </c>
      <c r="E26" s="8" t="s">
        <v>13</v>
      </c>
      <c r="F26" s="17">
        <v>1100</v>
      </c>
      <c r="G26" s="9">
        <v>1</v>
      </c>
      <c r="H26" s="17">
        <f t="shared" si="0"/>
        <v>1100</v>
      </c>
      <c r="I26" s="17">
        <f t="shared" si="1"/>
        <v>220</v>
      </c>
      <c r="J26" s="8" t="str">
        <f t="shared" si="2"/>
        <v>Mar</v>
      </c>
      <c r="K26" s="17">
        <f t="shared" si="3"/>
        <v>1100</v>
      </c>
    </row>
    <row r="27" spans="1:11" x14ac:dyDescent="0.3">
      <c r="A27" s="10">
        <v>126</v>
      </c>
      <c r="B27" s="7">
        <v>45362</v>
      </c>
      <c r="C27" s="8" t="s">
        <v>10</v>
      </c>
      <c r="D27" s="8" t="s">
        <v>8</v>
      </c>
      <c r="E27" s="8" t="s">
        <v>9</v>
      </c>
      <c r="F27" s="17">
        <v>480</v>
      </c>
      <c r="G27" s="9">
        <v>2</v>
      </c>
      <c r="H27" s="17">
        <f t="shared" si="0"/>
        <v>960</v>
      </c>
      <c r="I27" s="17">
        <f t="shared" si="1"/>
        <v>192</v>
      </c>
      <c r="J27" s="8" t="str">
        <f t="shared" si="2"/>
        <v>Mar</v>
      </c>
      <c r="K27" s="17">
        <f t="shared" si="3"/>
        <v>240</v>
      </c>
    </row>
    <row r="28" spans="1:11" x14ac:dyDescent="0.3">
      <c r="A28" s="10">
        <v>127</v>
      </c>
      <c r="B28" s="7">
        <v>45364</v>
      </c>
      <c r="C28" s="8" t="s">
        <v>12</v>
      </c>
      <c r="D28" s="8" t="s">
        <v>8</v>
      </c>
      <c r="E28" s="8" t="s">
        <v>11</v>
      </c>
      <c r="F28" s="17">
        <v>330</v>
      </c>
      <c r="G28" s="9">
        <v>2</v>
      </c>
      <c r="H28" s="17">
        <f t="shared" si="0"/>
        <v>660</v>
      </c>
      <c r="I28" s="17">
        <f t="shared" si="1"/>
        <v>132</v>
      </c>
      <c r="J28" s="8" t="str">
        <f t="shared" si="2"/>
        <v>Mar</v>
      </c>
      <c r="K28" s="17">
        <f t="shared" si="3"/>
        <v>165</v>
      </c>
    </row>
    <row r="29" spans="1:11" x14ac:dyDescent="0.3">
      <c r="A29" s="10">
        <v>128</v>
      </c>
      <c r="B29" s="7">
        <v>45366</v>
      </c>
      <c r="C29" s="8" t="s">
        <v>14</v>
      </c>
      <c r="D29" s="8" t="s">
        <v>15</v>
      </c>
      <c r="E29" s="8" t="s">
        <v>16</v>
      </c>
      <c r="F29" s="17">
        <v>210</v>
      </c>
      <c r="G29" s="9">
        <v>3</v>
      </c>
      <c r="H29" s="17">
        <f t="shared" si="0"/>
        <v>630</v>
      </c>
      <c r="I29" s="17">
        <f t="shared" si="1"/>
        <v>126</v>
      </c>
      <c r="J29" s="8" t="str">
        <f t="shared" si="2"/>
        <v>Mar</v>
      </c>
      <c r="K29" s="17">
        <f t="shared" si="3"/>
        <v>70</v>
      </c>
    </row>
    <row r="30" spans="1:11" x14ac:dyDescent="0.3">
      <c r="A30" s="10">
        <v>129</v>
      </c>
      <c r="B30" s="7">
        <v>45368</v>
      </c>
      <c r="C30" s="8" t="s">
        <v>17</v>
      </c>
      <c r="D30" s="8" t="s">
        <v>15</v>
      </c>
      <c r="E30" s="8" t="s">
        <v>13</v>
      </c>
      <c r="F30" s="17">
        <v>450</v>
      </c>
      <c r="G30" s="9">
        <v>2</v>
      </c>
      <c r="H30" s="17">
        <f t="shared" si="0"/>
        <v>900</v>
      </c>
      <c r="I30" s="17">
        <f t="shared" si="1"/>
        <v>180</v>
      </c>
      <c r="J30" s="8" t="str">
        <f t="shared" si="2"/>
        <v>Mar</v>
      </c>
      <c r="K30" s="17">
        <f t="shared" si="3"/>
        <v>225</v>
      </c>
    </row>
    <row r="31" spans="1:11" x14ac:dyDescent="0.3">
      <c r="A31" s="10">
        <v>130</v>
      </c>
      <c r="B31" s="7">
        <v>45370</v>
      </c>
      <c r="C31" s="8" t="s">
        <v>7</v>
      </c>
      <c r="D31" s="8" t="s">
        <v>8</v>
      </c>
      <c r="E31" s="8" t="s">
        <v>11</v>
      </c>
      <c r="F31" s="17">
        <v>980</v>
      </c>
      <c r="G31" s="9">
        <v>2</v>
      </c>
      <c r="H31" s="17">
        <f t="shared" si="0"/>
        <v>1960</v>
      </c>
      <c r="I31" s="17">
        <f t="shared" si="1"/>
        <v>392</v>
      </c>
      <c r="J31" s="8" t="str">
        <f t="shared" si="2"/>
        <v>Mar</v>
      </c>
      <c r="K31" s="17">
        <f t="shared" si="3"/>
        <v>490</v>
      </c>
    </row>
    <row r="32" spans="1:11" x14ac:dyDescent="0.3">
      <c r="A32" s="10">
        <v>131</v>
      </c>
      <c r="B32" s="7">
        <v>45383</v>
      </c>
      <c r="C32" s="8" t="s">
        <v>10</v>
      </c>
      <c r="D32" s="8" t="s">
        <v>8</v>
      </c>
      <c r="E32" s="8" t="s">
        <v>9</v>
      </c>
      <c r="F32" s="17">
        <v>500</v>
      </c>
      <c r="G32" s="9">
        <v>3</v>
      </c>
      <c r="H32" s="17">
        <f t="shared" si="0"/>
        <v>1500</v>
      </c>
      <c r="I32" s="17">
        <f t="shared" si="1"/>
        <v>300</v>
      </c>
      <c r="J32" s="8" t="str">
        <f t="shared" si="2"/>
        <v>Apr</v>
      </c>
      <c r="K32" s="17">
        <f t="shared" si="3"/>
        <v>166.67</v>
      </c>
    </row>
    <row r="33" spans="1:11" x14ac:dyDescent="0.3">
      <c r="A33" s="10">
        <v>132</v>
      </c>
      <c r="B33" s="7">
        <v>45385</v>
      </c>
      <c r="C33" s="8" t="s">
        <v>12</v>
      </c>
      <c r="D33" s="8" t="s">
        <v>8</v>
      </c>
      <c r="E33" s="8" t="s">
        <v>13</v>
      </c>
      <c r="F33" s="17">
        <v>340</v>
      </c>
      <c r="G33" s="9">
        <v>2</v>
      </c>
      <c r="H33" s="17">
        <f t="shared" si="0"/>
        <v>680</v>
      </c>
      <c r="I33" s="17">
        <f t="shared" si="1"/>
        <v>136</v>
      </c>
      <c r="J33" s="8" t="str">
        <f t="shared" si="2"/>
        <v>Apr</v>
      </c>
      <c r="K33" s="17">
        <f t="shared" si="3"/>
        <v>170</v>
      </c>
    </row>
    <row r="34" spans="1:11" x14ac:dyDescent="0.3">
      <c r="A34" s="10">
        <v>133</v>
      </c>
      <c r="B34" s="7">
        <v>45387</v>
      </c>
      <c r="C34" s="8" t="s">
        <v>14</v>
      </c>
      <c r="D34" s="8" t="s">
        <v>15</v>
      </c>
      <c r="E34" s="8" t="s">
        <v>16</v>
      </c>
      <c r="F34" s="17">
        <v>230</v>
      </c>
      <c r="G34" s="9">
        <v>2</v>
      </c>
      <c r="H34" s="17">
        <f t="shared" si="0"/>
        <v>460</v>
      </c>
      <c r="I34" s="17">
        <f t="shared" si="1"/>
        <v>92</v>
      </c>
      <c r="J34" s="8" t="str">
        <f t="shared" si="2"/>
        <v>Apr</v>
      </c>
      <c r="K34" s="17">
        <f t="shared" si="3"/>
        <v>115</v>
      </c>
    </row>
    <row r="35" spans="1:11" x14ac:dyDescent="0.3">
      <c r="A35" s="10">
        <v>134</v>
      </c>
      <c r="B35" s="7">
        <v>45389</v>
      </c>
      <c r="C35" s="8" t="s">
        <v>17</v>
      </c>
      <c r="D35" s="8" t="s">
        <v>15</v>
      </c>
      <c r="E35" s="8" t="s">
        <v>11</v>
      </c>
      <c r="F35" s="17">
        <v>410</v>
      </c>
      <c r="G35" s="9">
        <v>3</v>
      </c>
      <c r="H35" s="17">
        <f t="shared" si="0"/>
        <v>1230</v>
      </c>
      <c r="I35" s="17">
        <f t="shared" si="1"/>
        <v>246</v>
      </c>
      <c r="J35" s="8" t="str">
        <f t="shared" si="2"/>
        <v>Apr</v>
      </c>
      <c r="K35" s="17">
        <f t="shared" si="3"/>
        <v>136.66999999999999</v>
      </c>
    </row>
    <row r="36" spans="1:11" x14ac:dyDescent="0.3">
      <c r="A36" s="10">
        <v>135</v>
      </c>
      <c r="B36" s="7">
        <v>45391</v>
      </c>
      <c r="C36" s="8" t="s">
        <v>7</v>
      </c>
      <c r="D36" s="8" t="s">
        <v>8</v>
      </c>
      <c r="E36" s="8" t="s">
        <v>9</v>
      </c>
      <c r="F36" s="17">
        <v>1200</v>
      </c>
      <c r="G36" s="9">
        <v>1</v>
      </c>
      <c r="H36" s="17">
        <f t="shared" si="0"/>
        <v>1200</v>
      </c>
      <c r="I36" s="17">
        <f t="shared" si="1"/>
        <v>240</v>
      </c>
      <c r="J36" s="8" t="str">
        <f t="shared" si="2"/>
        <v>Apr</v>
      </c>
      <c r="K36" s="17">
        <f t="shared" si="3"/>
        <v>1200</v>
      </c>
    </row>
    <row r="37" spans="1:11" x14ac:dyDescent="0.3">
      <c r="A37" s="10">
        <v>136</v>
      </c>
      <c r="B37" s="7">
        <v>45393</v>
      </c>
      <c r="C37" s="8" t="s">
        <v>10</v>
      </c>
      <c r="D37" s="8" t="s">
        <v>8</v>
      </c>
      <c r="E37" s="8" t="s">
        <v>13</v>
      </c>
      <c r="F37" s="17">
        <v>550</v>
      </c>
      <c r="G37" s="9">
        <v>4</v>
      </c>
      <c r="H37" s="17">
        <f t="shared" si="0"/>
        <v>2200</v>
      </c>
      <c r="I37" s="17">
        <f t="shared" si="1"/>
        <v>440</v>
      </c>
      <c r="J37" s="8" t="str">
        <f t="shared" si="2"/>
        <v>Apr</v>
      </c>
      <c r="K37" s="17">
        <f t="shared" si="3"/>
        <v>137.5</v>
      </c>
    </row>
    <row r="38" spans="1:11" x14ac:dyDescent="0.3">
      <c r="A38" s="10">
        <v>137</v>
      </c>
      <c r="B38" s="7">
        <v>45395</v>
      </c>
      <c r="C38" s="8" t="s">
        <v>12</v>
      </c>
      <c r="D38" s="8" t="s">
        <v>8</v>
      </c>
      <c r="E38" s="8" t="s">
        <v>16</v>
      </c>
      <c r="F38" s="17">
        <v>320</v>
      </c>
      <c r="G38" s="9">
        <v>2</v>
      </c>
      <c r="H38" s="17">
        <f t="shared" si="0"/>
        <v>640</v>
      </c>
      <c r="I38" s="17">
        <f t="shared" si="1"/>
        <v>128</v>
      </c>
      <c r="J38" s="8" t="str">
        <f t="shared" si="2"/>
        <v>Apr</v>
      </c>
      <c r="K38" s="17">
        <f t="shared" si="3"/>
        <v>160</v>
      </c>
    </row>
    <row r="39" spans="1:11" x14ac:dyDescent="0.3">
      <c r="A39" s="10">
        <v>138</v>
      </c>
      <c r="B39" s="7">
        <v>45397</v>
      </c>
      <c r="C39" s="8" t="s">
        <v>14</v>
      </c>
      <c r="D39" s="8" t="s">
        <v>15</v>
      </c>
      <c r="E39" s="8" t="s">
        <v>9</v>
      </c>
      <c r="F39" s="17">
        <v>240</v>
      </c>
      <c r="G39" s="9">
        <v>3</v>
      </c>
      <c r="H39" s="17">
        <f t="shared" si="0"/>
        <v>720</v>
      </c>
      <c r="I39" s="17">
        <f t="shared" si="1"/>
        <v>144</v>
      </c>
      <c r="J39" s="8" t="str">
        <f t="shared" si="2"/>
        <v>Apr</v>
      </c>
      <c r="K39" s="17">
        <f t="shared" si="3"/>
        <v>80</v>
      </c>
    </row>
    <row r="40" spans="1:11" x14ac:dyDescent="0.3">
      <c r="A40" s="10">
        <v>139</v>
      </c>
      <c r="B40" s="7">
        <v>45399</v>
      </c>
      <c r="C40" s="8" t="s">
        <v>17</v>
      </c>
      <c r="D40" s="8" t="s">
        <v>15</v>
      </c>
      <c r="E40" s="8" t="s">
        <v>13</v>
      </c>
      <c r="F40" s="17">
        <v>460</v>
      </c>
      <c r="G40" s="9">
        <v>2</v>
      </c>
      <c r="H40" s="17">
        <f t="shared" si="0"/>
        <v>920</v>
      </c>
      <c r="I40" s="17">
        <f t="shared" si="1"/>
        <v>184</v>
      </c>
      <c r="J40" s="8" t="str">
        <f t="shared" si="2"/>
        <v>Apr</v>
      </c>
      <c r="K40" s="17">
        <f t="shared" si="3"/>
        <v>230</v>
      </c>
    </row>
    <row r="41" spans="1:11" x14ac:dyDescent="0.3">
      <c r="A41" s="10">
        <v>140</v>
      </c>
      <c r="B41" s="7">
        <v>45401</v>
      </c>
      <c r="C41" s="8" t="s">
        <v>7</v>
      </c>
      <c r="D41" s="8" t="s">
        <v>8</v>
      </c>
      <c r="E41" s="8" t="s">
        <v>16</v>
      </c>
      <c r="F41" s="17">
        <v>1050</v>
      </c>
      <c r="G41" s="9">
        <v>2</v>
      </c>
      <c r="H41" s="17">
        <f t="shared" si="0"/>
        <v>2100</v>
      </c>
      <c r="I41" s="17">
        <f t="shared" si="1"/>
        <v>420</v>
      </c>
      <c r="J41" s="8" t="str">
        <f t="shared" si="2"/>
        <v>Apr</v>
      </c>
      <c r="K41" s="17">
        <f t="shared" si="3"/>
        <v>525</v>
      </c>
    </row>
    <row r="42" spans="1:11" x14ac:dyDescent="0.3">
      <c r="A42" s="10">
        <v>141</v>
      </c>
      <c r="B42" s="7">
        <v>45413</v>
      </c>
      <c r="C42" s="8" t="s">
        <v>10</v>
      </c>
      <c r="D42" s="8" t="s">
        <v>8</v>
      </c>
      <c r="E42" s="8" t="s">
        <v>11</v>
      </c>
      <c r="F42" s="17">
        <v>600</v>
      </c>
      <c r="G42" s="9">
        <v>3</v>
      </c>
      <c r="H42" s="17">
        <f t="shared" si="0"/>
        <v>1800</v>
      </c>
      <c r="I42" s="17">
        <f t="shared" si="1"/>
        <v>360</v>
      </c>
      <c r="J42" s="8" t="str">
        <f t="shared" si="2"/>
        <v>May</v>
      </c>
      <c r="K42" s="17">
        <f t="shared" si="3"/>
        <v>200</v>
      </c>
    </row>
    <row r="43" spans="1:11" x14ac:dyDescent="0.3">
      <c r="A43" s="10">
        <v>142</v>
      </c>
      <c r="B43" s="7">
        <v>45415</v>
      </c>
      <c r="C43" s="8" t="s">
        <v>12</v>
      </c>
      <c r="D43" s="8" t="s">
        <v>8</v>
      </c>
      <c r="E43" s="8" t="s">
        <v>9</v>
      </c>
      <c r="F43" s="17">
        <v>350</v>
      </c>
      <c r="G43" s="9">
        <v>2</v>
      </c>
      <c r="H43" s="17">
        <f t="shared" si="0"/>
        <v>700</v>
      </c>
      <c r="I43" s="17">
        <f t="shared" si="1"/>
        <v>140</v>
      </c>
      <c r="J43" s="8" t="str">
        <f t="shared" si="2"/>
        <v>May</v>
      </c>
      <c r="K43" s="17">
        <f t="shared" si="3"/>
        <v>175</v>
      </c>
    </row>
    <row r="44" spans="1:11" x14ac:dyDescent="0.3">
      <c r="A44" s="10">
        <v>143</v>
      </c>
      <c r="B44" s="7">
        <v>45417</v>
      </c>
      <c r="C44" s="8" t="s">
        <v>14</v>
      </c>
      <c r="D44" s="8" t="s">
        <v>15</v>
      </c>
      <c r="E44" s="8" t="s">
        <v>13</v>
      </c>
      <c r="F44" s="17">
        <v>250</v>
      </c>
      <c r="G44" s="9">
        <v>3</v>
      </c>
      <c r="H44" s="17">
        <f t="shared" si="0"/>
        <v>750</v>
      </c>
      <c r="I44" s="17">
        <f t="shared" si="1"/>
        <v>150</v>
      </c>
      <c r="J44" s="8" t="str">
        <f t="shared" si="2"/>
        <v>May</v>
      </c>
      <c r="K44" s="17">
        <f t="shared" si="3"/>
        <v>83.33</v>
      </c>
    </row>
    <row r="45" spans="1:11" x14ac:dyDescent="0.3">
      <c r="A45" s="10">
        <v>144</v>
      </c>
      <c r="B45" s="7">
        <v>45419</v>
      </c>
      <c r="C45" s="8" t="s">
        <v>17</v>
      </c>
      <c r="D45" s="8" t="s">
        <v>15</v>
      </c>
      <c r="E45" s="8" t="s">
        <v>16</v>
      </c>
      <c r="F45" s="17">
        <v>420</v>
      </c>
      <c r="G45" s="9">
        <v>2</v>
      </c>
      <c r="H45" s="17">
        <f t="shared" si="0"/>
        <v>840</v>
      </c>
      <c r="I45" s="17">
        <f t="shared" si="1"/>
        <v>168</v>
      </c>
      <c r="J45" s="8" t="str">
        <f t="shared" si="2"/>
        <v>May</v>
      </c>
      <c r="K45" s="17">
        <f t="shared" si="3"/>
        <v>210</v>
      </c>
    </row>
    <row r="46" spans="1:11" x14ac:dyDescent="0.3">
      <c r="A46" s="10">
        <v>145</v>
      </c>
      <c r="B46" s="7">
        <v>45421</v>
      </c>
      <c r="C46" s="8" t="s">
        <v>7</v>
      </c>
      <c r="D46" s="8" t="s">
        <v>8</v>
      </c>
      <c r="E46" s="8" t="s">
        <v>11</v>
      </c>
      <c r="F46" s="17">
        <v>1150</v>
      </c>
      <c r="G46" s="9">
        <v>1</v>
      </c>
      <c r="H46" s="17">
        <f t="shared" si="0"/>
        <v>1150</v>
      </c>
      <c r="I46" s="17">
        <f t="shared" si="1"/>
        <v>230</v>
      </c>
      <c r="J46" s="8" t="str">
        <f t="shared" si="2"/>
        <v>May</v>
      </c>
      <c r="K46" s="17">
        <f t="shared" si="3"/>
        <v>1150</v>
      </c>
    </row>
    <row r="47" spans="1:11" x14ac:dyDescent="0.3">
      <c r="A47" s="10">
        <v>146</v>
      </c>
      <c r="B47" s="7">
        <v>45423</v>
      </c>
      <c r="C47" s="8" t="s">
        <v>10</v>
      </c>
      <c r="D47" s="8" t="s">
        <v>8</v>
      </c>
      <c r="E47" s="8" t="s">
        <v>9</v>
      </c>
      <c r="F47" s="17">
        <v>520</v>
      </c>
      <c r="G47" s="9">
        <v>2</v>
      </c>
      <c r="H47" s="17">
        <f t="shared" si="0"/>
        <v>1040</v>
      </c>
      <c r="I47" s="17">
        <f t="shared" si="1"/>
        <v>208</v>
      </c>
      <c r="J47" s="8" t="str">
        <f t="shared" si="2"/>
        <v>May</v>
      </c>
      <c r="K47" s="17">
        <f t="shared" si="3"/>
        <v>260</v>
      </c>
    </row>
    <row r="48" spans="1:11" x14ac:dyDescent="0.3">
      <c r="A48" s="10">
        <v>147</v>
      </c>
      <c r="B48" s="7">
        <v>45425</v>
      </c>
      <c r="C48" s="8" t="s">
        <v>12</v>
      </c>
      <c r="D48" s="8" t="s">
        <v>8</v>
      </c>
      <c r="E48" s="8" t="s">
        <v>13</v>
      </c>
      <c r="F48" s="17">
        <v>360</v>
      </c>
      <c r="G48" s="9">
        <v>3</v>
      </c>
      <c r="H48" s="17">
        <f t="shared" si="0"/>
        <v>1080</v>
      </c>
      <c r="I48" s="17">
        <f t="shared" si="1"/>
        <v>216</v>
      </c>
      <c r="J48" s="8" t="str">
        <f t="shared" si="2"/>
        <v>May</v>
      </c>
      <c r="K48" s="17">
        <f t="shared" si="3"/>
        <v>120</v>
      </c>
    </row>
    <row r="49" spans="1:11" x14ac:dyDescent="0.3">
      <c r="A49" s="10">
        <v>148</v>
      </c>
      <c r="B49" s="7">
        <v>45427</v>
      </c>
      <c r="C49" s="8" t="s">
        <v>14</v>
      </c>
      <c r="D49" s="8" t="s">
        <v>15</v>
      </c>
      <c r="E49" s="8" t="s">
        <v>16</v>
      </c>
      <c r="F49" s="17">
        <v>260</v>
      </c>
      <c r="G49" s="9">
        <v>2</v>
      </c>
      <c r="H49" s="17">
        <f t="shared" si="0"/>
        <v>520</v>
      </c>
      <c r="I49" s="17">
        <f t="shared" si="1"/>
        <v>104</v>
      </c>
      <c r="J49" s="8" t="str">
        <f t="shared" si="2"/>
        <v>May</v>
      </c>
      <c r="K49" s="17">
        <f t="shared" si="3"/>
        <v>130</v>
      </c>
    </row>
    <row r="50" spans="1:11" x14ac:dyDescent="0.3">
      <c r="A50" s="10">
        <v>149</v>
      </c>
      <c r="B50" s="7">
        <v>45429</v>
      </c>
      <c r="C50" s="8" t="s">
        <v>17</v>
      </c>
      <c r="D50" s="8" t="s">
        <v>15</v>
      </c>
      <c r="E50" s="8" t="s">
        <v>9</v>
      </c>
      <c r="F50" s="17">
        <v>430</v>
      </c>
      <c r="G50" s="9">
        <v>3</v>
      </c>
      <c r="H50" s="17">
        <f t="shared" si="0"/>
        <v>1290</v>
      </c>
      <c r="I50" s="17">
        <f t="shared" si="1"/>
        <v>258</v>
      </c>
      <c r="J50" s="8" t="str">
        <f t="shared" si="2"/>
        <v>May</v>
      </c>
      <c r="K50" s="17">
        <f t="shared" si="3"/>
        <v>143.33000000000001</v>
      </c>
    </row>
    <row r="51" spans="1:11" x14ac:dyDescent="0.3">
      <c r="A51" s="10">
        <v>150</v>
      </c>
      <c r="B51" s="7">
        <v>45431</v>
      </c>
      <c r="C51" s="8" t="s">
        <v>7</v>
      </c>
      <c r="D51" s="8" t="s">
        <v>8</v>
      </c>
      <c r="E51" s="8" t="s">
        <v>13</v>
      </c>
      <c r="F51" s="17">
        <v>1250</v>
      </c>
      <c r="G51" s="9">
        <v>2</v>
      </c>
      <c r="H51" s="17">
        <f t="shared" si="0"/>
        <v>2500</v>
      </c>
      <c r="I51" s="17">
        <f t="shared" si="1"/>
        <v>500</v>
      </c>
      <c r="J51" s="8" t="str">
        <f t="shared" si="2"/>
        <v>May</v>
      </c>
      <c r="K51" s="17">
        <f t="shared" si="3"/>
        <v>625</v>
      </c>
    </row>
    <row r="52" spans="1:11" x14ac:dyDescent="0.3">
      <c r="A52" s="10">
        <v>151</v>
      </c>
      <c r="B52" s="7">
        <v>45444</v>
      </c>
      <c r="C52" s="8" t="s">
        <v>10</v>
      </c>
      <c r="D52" s="8" t="s">
        <v>8</v>
      </c>
      <c r="E52" s="8" t="s">
        <v>16</v>
      </c>
      <c r="F52" s="17">
        <v>580</v>
      </c>
      <c r="G52" s="9">
        <v>3</v>
      </c>
      <c r="H52" s="17">
        <f t="shared" si="0"/>
        <v>1740</v>
      </c>
      <c r="I52" s="17">
        <f t="shared" si="1"/>
        <v>348</v>
      </c>
      <c r="J52" s="8" t="str">
        <f t="shared" si="2"/>
        <v>Jun</v>
      </c>
      <c r="K52" s="17">
        <f t="shared" si="3"/>
        <v>193.33</v>
      </c>
    </row>
    <row r="53" spans="1:11" x14ac:dyDescent="0.3">
      <c r="A53" s="10">
        <v>152</v>
      </c>
      <c r="B53" s="7">
        <v>45446</v>
      </c>
      <c r="C53" s="8" t="s">
        <v>12</v>
      </c>
      <c r="D53" s="8" t="s">
        <v>8</v>
      </c>
      <c r="E53" s="8" t="s">
        <v>11</v>
      </c>
      <c r="F53" s="17">
        <v>370</v>
      </c>
      <c r="G53" s="9">
        <v>2</v>
      </c>
      <c r="H53" s="17">
        <f t="shared" si="0"/>
        <v>740</v>
      </c>
      <c r="I53" s="17">
        <f t="shared" si="1"/>
        <v>148</v>
      </c>
      <c r="J53" s="8" t="str">
        <f t="shared" si="2"/>
        <v>Jun</v>
      </c>
      <c r="K53" s="17">
        <f t="shared" si="3"/>
        <v>185</v>
      </c>
    </row>
    <row r="54" spans="1:11" x14ac:dyDescent="0.3">
      <c r="A54" s="10">
        <v>153</v>
      </c>
      <c r="B54" s="7">
        <v>45448</v>
      </c>
      <c r="C54" s="8" t="s">
        <v>14</v>
      </c>
      <c r="D54" s="8" t="s">
        <v>15</v>
      </c>
      <c r="E54" s="8" t="s">
        <v>9</v>
      </c>
      <c r="F54" s="17">
        <v>270</v>
      </c>
      <c r="G54" s="9">
        <v>2</v>
      </c>
      <c r="H54" s="17">
        <f t="shared" si="0"/>
        <v>540</v>
      </c>
      <c r="I54" s="17">
        <f t="shared" si="1"/>
        <v>108</v>
      </c>
      <c r="J54" s="8" t="str">
        <f t="shared" si="2"/>
        <v>Jun</v>
      </c>
      <c r="K54" s="17">
        <f t="shared" si="3"/>
        <v>135</v>
      </c>
    </row>
    <row r="55" spans="1:11" x14ac:dyDescent="0.3">
      <c r="A55" s="10">
        <v>154</v>
      </c>
      <c r="B55" s="7">
        <v>45450</v>
      </c>
      <c r="C55" s="8" t="s">
        <v>17</v>
      </c>
      <c r="D55" s="8" t="s">
        <v>15</v>
      </c>
      <c r="E55" s="8" t="s">
        <v>13</v>
      </c>
      <c r="F55" s="17">
        <v>470</v>
      </c>
      <c r="G55" s="9">
        <v>3</v>
      </c>
      <c r="H55" s="17">
        <f t="shared" si="0"/>
        <v>1410</v>
      </c>
      <c r="I55" s="17">
        <f t="shared" si="1"/>
        <v>282</v>
      </c>
      <c r="J55" s="8" t="str">
        <f t="shared" si="2"/>
        <v>Jun</v>
      </c>
      <c r="K55" s="17">
        <f t="shared" si="3"/>
        <v>156.66999999999999</v>
      </c>
    </row>
    <row r="56" spans="1:11" x14ac:dyDescent="0.3">
      <c r="A56" s="10">
        <v>155</v>
      </c>
      <c r="B56" s="7">
        <v>45452</v>
      </c>
      <c r="C56" s="8" t="s">
        <v>7</v>
      </c>
      <c r="D56" s="8" t="s">
        <v>8</v>
      </c>
      <c r="E56" s="8" t="s">
        <v>9</v>
      </c>
      <c r="F56" s="17">
        <v>1300</v>
      </c>
      <c r="G56" s="9">
        <v>1</v>
      </c>
      <c r="H56" s="17">
        <f t="shared" si="0"/>
        <v>1300</v>
      </c>
      <c r="I56" s="17">
        <f t="shared" si="1"/>
        <v>260</v>
      </c>
      <c r="J56" s="8" t="str">
        <f t="shared" si="2"/>
        <v>Jun</v>
      </c>
      <c r="K56" s="17">
        <f t="shared" si="3"/>
        <v>1300</v>
      </c>
    </row>
    <row r="57" spans="1:11" x14ac:dyDescent="0.3">
      <c r="A57" s="10">
        <v>156</v>
      </c>
      <c r="B57" s="7">
        <v>45454</v>
      </c>
      <c r="C57" s="8" t="s">
        <v>10</v>
      </c>
      <c r="D57" s="8" t="s">
        <v>8</v>
      </c>
      <c r="E57" s="8" t="s">
        <v>11</v>
      </c>
      <c r="F57" s="17">
        <v>610</v>
      </c>
      <c r="G57" s="9">
        <v>2</v>
      </c>
      <c r="H57" s="17">
        <f t="shared" si="0"/>
        <v>1220</v>
      </c>
      <c r="I57" s="17">
        <f t="shared" si="1"/>
        <v>244</v>
      </c>
      <c r="J57" s="8" t="str">
        <f t="shared" si="2"/>
        <v>Jun</v>
      </c>
      <c r="K57" s="17">
        <f t="shared" si="3"/>
        <v>305</v>
      </c>
    </row>
    <row r="58" spans="1:11" x14ac:dyDescent="0.3">
      <c r="A58" s="10">
        <v>157</v>
      </c>
      <c r="B58" s="7">
        <v>45456</v>
      </c>
      <c r="C58" s="8" t="s">
        <v>12</v>
      </c>
      <c r="D58" s="8" t="s">
        <v>8</v>
      </c>
      <c r="E58" s="8" t="s">
        <v>16</v>
      </c>
      <c r="F58" s="17">
        <v>390</v>
      </c>
      <c r="G58" s="9">
        <v>3</v>
      </c>
      <c r="H58" s="17">
        <f t="shared" si="0"/>
        <v>1170</v>
      </c>
      <c r="I58" s="17">
        <f t="shared" si="1"/>
        <v>234</v>
      </c>
      <c r="J58" s="8" t="str">
        <f t="shared" si="2"/>
        <v>Jun</v>
      </c>
      <c r="K58" s="17">
        <f t="shared" si="3"/>
        <v>130</v>
      </c>
    </row>
    <row r="59" spans="1:11" x14ac:dyDescent="0.3">
      <c r="A59" s="10">
        <v>158</v>
      </c>
      <c r="B59" s="7">
        <v>45458</v>
      </c>
      <c r="C59" s="8" t="s">
        <v>14</v>
      </c>
      <c r="D59" s="8" t="s">
        <v>15</v>
      </c>
      <c r="E59" s="8" t="s">
        <v>13</v>
      </c>
      <c r="F59" s="17">
        <v>280</v>
      </c>
      <c r="G59" s="9">
        <v>2</v>
      </c>
      <c r="H59" s="17">
        <f t="shared" si="0"/>
        <v>560</v>
      </c>
      <c r="I59" s="17">
        <f t="shared" si="1"/>
        <v>112</v>
      </c>
      <c r="J59" s="8" t="str">
        <f t="shared" si="2"/>
        <v>Jun</v>
      </c>
      <c r="K59" s="17">
        <f t="shared" si="3"/>
        <v>140</v>
      </c>
    </row>
    <row r="60" spans="1:11" x14ac:dyDescent="0.3">
      <c r="A60" s="10">
        <v>159</v>
      </c>
      <c r="B60" s="7">
        <v>45460</v>
      </c>
      <c r="C60" s="8" t="s">
        <v>17</v>
      </c>
      <c r="D60" s="8" t="s">
        <v>15</v>
      </c>
      <c r="E60" s="8" t="s">
        <v>9</v>
      </c>
      <c r="F60" s="17">
        <v>440</v>
      </c>
      <c r="G60" s="9">
        <v>3</v>
      </c>
      <c r="H60" s="17">
        <f t="shared" si="0"/>
        <v>1320</v>
      </c>
      <c r="I60" s="17">
        <f t="shared" si="1"/>
        <v>264</v>
      </c>
      <c r="J60" s="8" t="str">
        <f t="shared" si="2"/>
        <v>Jun</v>
      </c>
      <c r="K60" s="17">
        <f t="shared" si="3"/>
        <v>146.66999999999999</v>
      </c>
    </row>
    <row r="61" spans="1:11" x14ac:dyDescent="0.3">
      <c r="A61" s="10">
        <v>160</v>
      </c>
      <c r="B61" s="7">
        <v>45462</v>
      </c>
      <c r="C61" s="8" t="s">
        <v>7</v>
      </c>
      <c r="D61" s="8" t="s">
        <v>8</v>
      </c>
      <c r="E61" s="8" t="s">
        <v>16</v>
      </c>
      <c r="F61" s="17">
        <v>1400</v>
      </c>
      <c r="G61" s="9">
        <v>2</v>
      </c>
      <c r="H61" s="17">
        <f t="shared" si="0"/>
        <v>2800</v>
      </c>
      <c r="I61" s="17">
        <f t="shared" si="1"/>
        <v>560</v>
      </c>
      <c r="J61" s="8" t="str">
        <f t="shared" si="2"/>
        <v>Jun</v>
      </c>
      <c r="K61" s="17">
        <f t="shared" si="3"/>
        <v>700</v>
      </c>
    </row>
  </sheetData>
  <dataValidations count="1">
    <dataValidation type="whole" operator="notBetween" allowBlank="1" showInputMessage="1" showErrorMessage="1" sqref="F2:G61">
      <formula1>1</formula1>
      <formula2>100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1"/>
  <sheetViews>
    <sheetView showGridLines="0" zoomScaleNormal="100" workbookViewId="0">
      <selection activeCell="D20" sqref="D20"/>
    </sheetView>
  </sheetViews>
  <sheetFormatPr defaultRowHeight="14.4" x14ac:dyDescent="0.3"/>
  <cols>
    <col min="1" max="1" width="22.5546875" bestFit="1" customWidth="1"/>
    <col min="2" max="2" width="14.88671875" bestFit="1" customWidth="1"/>
    <col min="4" max="4" width="21.6640625" bestFit="1" customWidth="1"/>
    <col min="5" max="6" width="14.88671875" bestFit="1" customWidth="1"/>
    <col min="7" max="7" width="23.77734375" bestFit="1" customWidth="1"/>
    <col min="8" max="9" width="14.88671875" bestFit="1" customWidth="1"/>
    <col min="10" max="10" width="12.5546875" customWidth="1"/>
    <col min="11" max="11" width="14.88671875" bestFit="1" customWidth="1"/>
  </cols>
  <sheetData>
    <row r="1" spans="1:11" ht="23.4" x14ac:dyDescent="0.45">
      <c r="A1" s="11" t="s">
        <v>29</v>
      </c>
    </row>
    <row r="3" spans="1:11" ht="18" x14ac:dyDescent="0.35">
      <c r="A3" s="12" t="s">
        <v>30</v>
      </c>
      <c r="D3" s="13" t="s">
        <v>31</v>
      </c>
      <c r="G3" s="13" t="s">
        <v>32</v>
      </c>
      <c r="J3" s="12" t="s">
        <v>34</v>
      </c>
    </row>
    <row r="4" spans="1:11" x14ac:dyDescent="0.3">
      <c r="A4" s="2" t="s">
        <v>26</v>
      </c>
      <c r="B4" s="1" t="s">
        <v>28</v>
      </c>
      <c r="D4" s="2" t="s">
        <v>26</v>
      </c>
      <c r="E4" s="1" t="s">
        <v>28</v>
      </c>
      <c r="G4" s="2" t="s">
        <v>26</v>
      </c>
      <c r="H4" s="22" t="s">
        <v>28</v>
      </c>
      <c r="J4" s="2" t="s">
        <v>26</v>
      </c>
      <c r="K4" s="1" t="s">
        <v>28</v>
      </c>
    </row>
    <row r="5" spans="1:11" x14ac:dyDescent="0.3">
      <c r="A5" s="3" t="s">
        <v>7</v>
      </c>
      <c r="B5" s="21">
        <v>21360</v>
      </c>
      <c r="D5" s="3" t="s">
        <v>13</v>
      </c>
      <c r="E5" s="22">
        <v>20560</v>
      </c>
      <c r="G5" s="3" t="s">
        <v>8</v>
      </c>
      <c r="H5" s="22">
        <v>48170</v>
      </c>
      <c r="J5" s="3" t="s">
        <v>35</v>
      </c>
      <c r="K5" s="22">
        <v>11850</v>
      </c>
    </row>
    <row r="6" spans="1:11" x14ac:dyDescent="0.3">
      <c r="A6" s="3" t="s">
        <v>10</v>
      </c>
      <c r="B6" s="21">
        <v>19020</v>
      </c>
      <c r="D6" s="3" t="s">
        <v>9</v>
      </c>
      <c r="E6" s="22">
        <v>18520</v>
      </c>
      <c r="G6" s="3" t="s">
        <v>15</v>
      </c>
      <c r="H6" s="22">
        <v>19700</v>
      </c>
      <c r="J6" s="3" t="s">
        <v>36</v>
      </c>
      <c r="K6" s="22">
        <v>9930</v>
      </c>
    </row>
    <row r="7" spans="1:11" x14ac:dyDescent="0.3">
      <c r="A7" s="3" t="s">
        <v>17</v>
      </c>
      <c r="B7" s="21">
        <v>12190</v>
      </c>
      <c r="D7" s="3" t="s">
        <v>16</v>
      </c>
      <c r="E7" s="22">
        <v>14410</v>
      </c>
      <c r="G7" s="3" t="s">
        <v>27</v>
      </c>
      <c r="H7" s="22">
        <v>67870</v>
      </c>
      <c r="J7" s="3" t="s">
        <v>37</v>
      </c>
      <c r="K7" s="22">
        <v>9970</v>
      </c>
    </row>
    <row r="8" spans="1:11" x14ac:dyDescent="0.3">
      <c r="A8" s="3" t="s">
        <v>12</v>
      </c>
      <c r="B8" s="21">
        <v>7790</v>
      </c>
      <c r="D8" s="3" t="s">
        <v>11</v>
      </c>
      <c r="E8" s="22">
        <v>14380</v>
      </c>
      <c r="J8" s="3" t="s">
        <v>38</v>
      </c>
      <c r="K8" s="22">
        <v>11650</v>
      </c>
    </row>
    <row r="9" spans="1:11" x14ac:dyDescent="0.3">
      <c r="A9" s="3" t="s">
        <v>14</v>
      </c>
      <c r="B9" s="21">
        <v>7510</v>
      </c>
      <c r="D9" s="3" t="s">
        <v>27</v>
      </c>
      <c r="E9" s="22">
        <v>67870</v>
      </c>
      <c r="J9" s="3" t="s">
        <v>39</v>
      </c>
      <c r="K9" s="22">
        <v>11670</v>
      </c>
    </row>
    <row r="10" spans="1:11" x14ac:dyDescent="0.3">
      <c r="A10" s="3" t="s">
        <v>27</v>
      </c>
      <c r="B10" s="21">
        <v>67870</v>
      </c>
      <c r="J10" s="3" t="s">
        <v>40</v>
      </c>
      <c r="K10" s="22">
        <v>12800</v>
      </c>
    </row>
    <row r="11" spans="1:11" x14ac:dyDescent="0.3">
      <c r="J11" s="3" t="s">
        <v>27</v>
      </c>
      <c r="K11" s="22">
        <v>67870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sheetPr>
  <dimension ref="A1:O75"/>
  <sheetViews>
    <sheetView showGridLines="0" zoomScale="80" zoomScaleNormal="80" workbookViewId="0">
      <selection activeCell="P13" sqref="P13"/>
    </sheetView>
  </sheetViews>
  <sheetFormatPr defaultRowHeight="14.4" x14ac:dyDescent="0.3"/>
  <cols>
    <col min="1" max="1" width="18.109375" bestFit="1" customWidth="1"/>
    <col min="3" max="3" width="12.5546875" bestFit="1" customWidth="1"/>
    <col min="5" max="5" width="11.44140625" bestFit="1" customWidth="1"/>
    <col min="7" max="7" width="17.21875" bestFit="1" customWidth="1"/>
  </cols>
  <sheetData>
    <row r="1" spans="1:7" ht="23.4" x14ac:dyDescent="0.45">
      <c r="A1" s="14" t="s">
        <v>33</v>
      </c>
    </row>
    <row r="2" spans="1:7" ht="15.6" x14ac:dyDescent="0.3">
      <c r="A2" s="34" t="s">
        <v>43</v>
      </c>
      <c r="B2" s="34"/>
      <c r="C2" s="34"/>
      <c r="D2" s="34"/>
    </row>
    <row r="3" spans="1:7" ht="15" thickBot="1" x14ac:dyDescent="0.35"/>
    <row r="4" spans="1:7" ht="15.6" x14ac:dyDescent="0.3">
      <c r="A4" s="4" t="s">
        <v>22</v>
      </c>
      <c r="B4" s="23"/>
      <c r="C4" s="4" t="s">
        <v>23</v>
      </c>
      <c r="D4" s="5"/>
      <c r="E4" s="4" t="s">
        <v>24</v>
      </c>
      <c r="F4" s="5"/>
      <c r="G4" s="4" t="s">
        <v>25</v>
      </c>
    </row>
    <row r="5" spans="1:7" ht="21.6" thickBot="1" x14ac:dyDescent="0.45">
      <c r="A5" s="18">
        <f>SUM(Raw_Data!H2:H61)</f>
        <v>67870</v>
      </c>
      <c r="B5" s="24"/>
      <c r="C5" s="20">
        <f>COUNT(Raw_Data!A2:A61)</f>
        <v>60</v>
      </c>
      <c r="D5" s="19"/>
      <c r="E5" s="18">
        <f>SUM(Raw_Data!I2:I61)</f>
        <v>13574</v>
      </c>
      <c r="F5" s="19"/>
      <c r="G5" s="18">
        <f>ROUND(AVERAGE(Raw_Data!H2:H61),2)</f>
        <v>1131.17</v>
      </c>
    </row>
    <row r="14" spans="1:7" x14ac:dyDescent="0.3">
      <c r="D14" s="15"/>
    </row>
    <row r="57" spans="1:15" x14ac:dyDescent="0.3">
      <c r="O57" t="s">
        <v>41</v>
      </c>
    </row>
    <row r="64" spans="1:15" x14ac:dyDescent="0.3">
      <c r="A64" s="25" t="s">
        <v>42</v>
      </c>
      <c r="B64" s="26"/>
      <c r="C64" s="26"/>
      <c r="D64" s="26"/>
      <c r="E64" s="26"/>
      <c r="F64" s="26"/>
      <c r="G64" s="26"/>
      <c r="H64" s="26"/>
      <c r="I64" s="26"/>
      <c r="J64" s="27"/>
    </row>
    <row r="65" spans="1:10" x14ac:dyDescent="0.3">
      <c r="A65" s="28"/>
      <c r="B65" s="29"/>
      <c r="C65" s="29"/>
      <c r="D65" s="29"/>
      <c r="E65" s="29"/>
      <c r="F65" s="29"/>
      <c r="G65" s="29"/>
      <c r="H65" s="29"/>
      <c r="I65" s="29"/>
      <c r="J65" s="30"/>
    </row>
    <row r="66" spans="1:10" x14ac:dyDescent="0.3">
      <c r="A66" s="28"/>
      <c r="B66" s="29"/>
      <c r="C66" s="29"/>
      <c r="D66" s="29"/>
      <c r="E66" s="29"/>
      <c r="F66" s="29"/>
      <c r="G66" s="29"/>
      <c r="H66" s="29"/>
      <c r="I66" s="29"/>
      <c r="J66" s="30"/>
    </row>
    <row r="67" spans="1:10" x14ac:dyDescent="0.3">
      <c r="A67" s="28"/>
      <c r="B67" s="29"/>
      <c r="C67" s="29"/>
      <c r="D67" s="29"/>
      <c r="E67" s="29"/>
      <c r="F67" s="29"/>
      <c r="G67" s="29"/>
      <c r="H67" s="29"/>
      <c r="I67" s="29"/>
      <c r="J67" s="30"/>
    </row>
    <row r="68" spans="1:10" x14ac:dyDescent="0.3">
      <c r="A68" s="28"/>
      <c r="B68" s="29"/>
      <c r="C68" s="29"/>
      <c r="D68" s="29"/>
      <c r="E68" s="29"/>
      <c r="F68" s="29"/>
      <c r="G68" s="29"/>
      <c r="H68" s="29"/>
      <c r="I68" s="29"/>
      <c r="J68" s="30"/>
    </row>
    <row r="69" spans="1:10" x14ac:dyDescent="0.3">
      <c r="A69" s="28"/>
      <c r="B69" s="29"/>
      <c r="C69" s="29"/>
      <c r="D69" s="29"/>
      <c r="E69" s="29"/>
      <c r="F69" s="29"/>
      <c r="G69" s="29"/>
      <c r="H69" s="29"/>
      <c r="I69" s="29"/>
      <c r="J69" s="30"/>
    </row>
    <row r="70" spans="1:10" x14ac:dyDescent="0.3">
      <c r="A70" s="28"/>
      <c r="B70" s="29"/>
      <c r="C70" s="29"/>
      <c r="D70" s="29"/>
      <c r="E70" s="29"/>
      <c r="F70" s="29"/>
      <c r="G70" s="29"/>
      <c r="H70" s="29"/>
      <c r="I70" s="29"/>
      <c r="J70" s="30"/>
    </row>
    <row r="71" spans="1:10" x14ac:dyDescent="0.3">
      <c r="A71" s="28"/>
      <c r="B71" s="29"/>
      <c r="C71" s="29"/>
      <c r="D71" s="29"/>
      <c r="E71" s="29"/>
      <c r="F71" s="29"/>
      <c r="G71" s="29"/>
      <c r="H71" s="29"/>
      <c r="I71" s="29"/>
      <c r="J71" s="30"/>
    </row>
    <row r="72" spans="1:10" x14ac:dyDescent="0.3">
      <c r="A72" s="28"/>
      <c r="B72" s="29"/>
      <c r="C72" s="29"/>
      <c r="D72" s="29"/>
      <c r="E72" s="29"/>
      <c r="F72" s="29"/>
      <c r="G72" s="29"/>
      <c r="H72" s="29"/>
      <c r="I72" s="29"/>
      <c r="J72" s="30"/>
    </row>
    <row r="73" spans="1:10" x14ac:dyDescent="0.3">
      <c r="A73" s="28"/>
      <c r="B73" s="29"/>
      <c r="C73" s="29"/>
      <c r="D73" s="29"/>
      <c r="E73" s="29"/>
      <c r="F73" s="29"/>
      <c r="G73" s="29"/>
      <c r="H73" s="29"/>
      <c r="I73" s="29"/>
      <c r="J73" s="30"/>
    </row>
    <row r="74" spans="1:10" x14ac:dyDescent="0.3">
      <c r="A74" s="28"/>
      <c r="B74" s="29"/>
      <c r="C74" s="29"/>
      <c r="D74" s="29"/>
      <c r="E74" s="29"/>
      <c r="F74" s="29"/>
      <c r="G74" s="29"/>
      <c r="H74" s="29"/>
      <c r="I74" s="29"/>
      <c r="J74" s="30"/>
    </row>
    <row r="75" spans="1:10" x14ac:dyDescent="0.3">
      <c r="A75" s="31"/>
      <c r="B75" s="32"/>
      <c r="C75" s="32"/>
      <c r="D75" s="32"/>
      <c r="E75" s="32"/>
      <c r="F75" s="32"/>
      <c r="G75" s="32"/>
      <c r="H75" s="32"/>
      <c r="I75" s="32"/>
      <c r="J75" s="33"/>
    </row>
  </sheetData>
  <mergeCells count="1">
    <mergeCell ref="A64:J7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vt:lpstr>
      <vt:lpstr>Dashboard</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Kabit Poudel</dc:creator>
  <cp:lastModifiedBy>Kabit Poudel</cp:lastModifiedBy>
  <dcterms:created xsi:type="dcterms:W3CDTF">2026-05-04T13:12:54Z</dcterms:created>
  <dcterms:modified xsi:type="dcterms:W3CDTF">2026-05-13T12:48:21Z</dcterms:modified>
</cp:coreProperties>
</file>